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7.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8.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paramesh/personal/aits-fcf-tracker/"/>
    </mc:Choice>
  </mc:AlternateContent>
  <xr:revisionPtr revIDLastSave="0" documentId="13_ncr:1_{5C7935B8-1621-F349-88A1-474C1B007399}" xr6:coauthVersionLast="47" xr6:coauthVersionMax="47" xr10:uidLastSave="{00000000-0000-0000-0000-000000000000}"/>
  <bookViews>
    <workbookView xWindow="0" yWindow="600" windowWidth="38400" windowHeight="19300" xr2:uid="{00000000-000D-0000-FFFF-FFFF00000000}"/>
  </bookViews>
  <sheets>
    <sheet name="Members" sheetId="1" r:id="rId1"/>
    <sheet name="Summary" sheetId="2" r:id="rId2"/>
    <sheet name="Contributions" sheetId="3" r:id="rId3"/>
    <sheet name="Loans" sheetId="4" r:id="rId4"/>
    <sheet name="Donations" sheetId="5" r:id="rId5"/>
    <sheet name="2026" sheetId="6" r:id="rId6"/>
    <sheet name="2025" sheetId="7" r:id="rId7"/>
    <sheet name="2024" sheetId="8" r:id="rId8"/>
    <sheet name="2023" sheetId="9" r:id="rId9"/>
    <sheet name="2022" sheetId="10" r:id="rId10"/>
    <sheet name="2021" sheetId="11" r:id="rId11"/>
    <sheet name="2020" sheetId="12" r:id="rId12"/>
    <sheet name="2019" sheetId="13" r:id="rId13"/>
    <sheet name="2018" sheetId="14" r:id="rId14"/>
    <sheet name="2017" sheetId="15" r:id="rId15"/>
    <sheet name="2016" sheetId="16" r:id="rId16"/>
    <sheet name="New_Resolutions_27-07-20" sheetId="18" r:id="rId17"/>
  </sheets>
  <definedNames>
    <definedName name="_xlnm._FilterDatabase" localSheetId="0" hidden="1">Members!$A$1:$B$23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16" l="1"/>
  <c r="H23" i="16"/>
  <c r="C23" i="3" s="1"/>
  <c r="H22" i="16"/>
  <c r="H21" i="16"/>
  <c r="H20" i="16"/>
  <c r="H19" i="16"/>
  <c r="H18" i="16"/>
  <c r="H17" i="16"/>
  <c r="H16" i="16"/>
  <c r="H15" i="16"/>
  <c r="C15" i="3" s="1"/>
  <c r="H14" i="16"/>
  <c r="H13" i="16"/>
  <c r="C13" i="3" s="1"/>
  <c r="H12" i="16"/>
  <c r="H11" i="16"/>
  <c r="H10" i="16"/>
  <c r="H9" i="16"/>
  <c r="H8" i="16"/>
  <c r="H7" i="16"/>
  <c r="H6" i="16"/>
  <c r="H5" i="16"/>
  <c r="H25" i="16" s="1"/>
  <c r="H4" i="16"/>
  <c r="H3" i="16"/>
  <c r="C3" i="3" s="1"/>
  <c r="H2" i="16"/>
  <c r="M25" i="15"/>
  <c r="L25" i="15"/>
  <c r="K25" i="15"/>
  <c r="J25" i="15"/>
  <c r="I25" i="15"/>
  <c r="H25" i="15"/>
  <c r="G25" i="15"/>
  <c r="F25" i="15"/>
  <c r="E25" i="15"/>
  <c r="D25" i="15"/>
  <c r="C25" i="15"/>
  <c r="B25" i="15"/>
  <c r="N24" i="15"/>
  <c r="N23" i="15"/>
  <c r="N22" i="15"/>
  <c r="N21" i="15"/>
  <c r="D21" i="3" s="1"/>
  <c r="N20" i="15"/>
  <c r="N19" i="15"/>
  <c r="N18" i="15"/>
  <c r="N17" i="15"/>
  <c r="N16" i="15"/>
  <c r="D16" i="3" s="1"/>
  <c r="B16" i="3" s="1"/>
  <c r="N15" i="15"/>
  <c r="N14" i="15"/>
  <c r="N13" i="15"/>
  <c r="N12" i="15"/>
  <c r="N11" i="15"/>
  <c r="D11" i="3" s="1"/>
  <c r="N10" i="15"/>
  <c r="N9" i="15"/>
  <c r="N8" i="15"/>
  <c r="N7" i="15"/>
  <c r="N25" i="15" s="1"/>
  <c r="N6" i="15"/>
  <c r="D6" i="3" s="1"/>
  <c r="B6" i="3" s="1"/>
  <c r="N5" i="15"/>
  <c r="N4" i="15"/>
  <c r="N3" i="15"/>
  <c r="N2" i="15"/>
  <c r="L25" i="14"/>
  <c r="K25" i="14"/>
  <c r="J25" i="14"/>
  <c r="I25" i="14"/>
  <c r="H25" i="14"/>
  <c r="G25" i="14"/>
  <c r="F25" i="14"/>
  <c r="E25" i="14"/>
  <c r="D25" i="14"/>
  <c r="C25" i="14"/>
  <c r="B25" i="14"/>
  <c r="M24" i="14"/>
  <c r="M25" i="14" s="1"/>
  <c r="N23" i="14"/>
  <c r="N22" i="14"/>
  <c r="N21" i="14"/>
  <c r="N20" i="14"/>
  <c r="N19" i="14"/>
  <c r="N18" i="14"/>
  <c r="N17" i="14"/>
  <c r="E17" i="3" s="1"/>
  <c r="N16" i="14"/>
  <c r="N15" i="14"/>
  <c r="N14" i="14"/>
  <c r="E14" i="3" s="1"/>
  <c r="N13" i="14"/>
  <c r="N12" i="14"/>
  <c r="N11" i="14"/>
  <c r="N10" i="14"/>
  <c r="N9" i="14"/>
  <c r="N8" i="14"/>
  <c r="N7" i="14"/>
  <c r="E7" i="3" s="1"/>
  <c r="N6" i="14"/>
  <c r="N5" i="14"/>
  <c r="N4" i="14"/>
  <c r="E4" i="3" s="1"/>
  <c r="N3" i="14"/>
  <c r="N2" i="14"/>
  <c r="M25" i="13"/>
  <c r="L25" i="13"/>
  <c r="K25" i="13"/>
  <c r="J25" i="13"/>
  <c r="I25" i="13"/>
  <c r="H25" i="13"/>
  <c r="G25" i="13"/>
  <c r="F25" i="13"/>
  <c r="E25" i="13"/>
  <c r="C25" i="13"/>
  <c r="B25" i="13"/>
  <c r="N24" i="13"/>
  <c r="D24" i="13"/>
  <c r="D25" i="13" s="1"/>
  <c r="N23" i="13"/>
  <c r="N22" i="13"/>
  <c r="N21" i="13"/>
  <c r="N20" i="13"/>
  <c r="F20" i="3" s="1"/>
  <c r="N19" i="13"/>
  <c r="N18" i="13"/>
  <c r="N17" i="13"/>
  <c r="N16" i="13"/>
  <c r="N15" i="13"/>
  <c r="F15" i="3" s="1"/>
  <c r="N14" i="13"/>
  <c r="N13" i="13"/>
  <c r="N12" i="13"/>
  <c r="N11" i="13"/>
  <c r="N10" i="13"/>
  <c r="F10" i="3" s="1"/>
  <c r="N9" i="13"/>
  <c r="N8" i="13"/>
  <c r="N7" i="13"/>
  <c r="N6" i="13"/>
  <c r="N5" i="13"/>
  <c r="F5" i="3" s="1"/>
  <c r="N4" i="13"/>
  <c r="N3" i="13"/>
  <c r="N2" i="13"/>
  <c r="N25" i="13" s="1"/>
  <c r="M25" i="12"/>
  <c r="L25" i="12"/>
  <c r="K25" i="12"/>
  <c r="J25" i="12"/>
  <c r="I25" i="12"/>
  <c r="H25" i="12"/>
  <c r="G25" i="12"/>
  <c r="F25" i="12"/>
  <c r="E25" i="12"/>
  <c r="D25" i="12"/>
  <c r="C25" i="12"/>
  <c r="B25" i="12"/>
  <c r="N24" i="12"/>
  <c r="N23" i="12"/>
  <c r="N22" i="12"/>
  <c r="N21" i="12"/>
  <c r="G21" i="3" s="1"/>
  <c r="N20" i="12"/>
  <c r="N19" i="12"/>
  <c r="N18" i="12"/>
  <c r="G18" i="3" s="1"/>
  <c r="N17" i="12"/>
  <c r="N16" i="12"/>
  <c r="N15" i="12"/>
  <c r="N14" i="12"/>
  <c r="N13" i="12"/>
  <c r="N12" i="12"/>
  <c r="N11" i="12"/>
  <c r="G11" i="3" s="1"/>
  <c r="N10" i="12"/>
  <c r="N9" i="12"/>
  <c r="N8" i="12"/>
  <c r="G8" i="3" s="1"/>
  <c r="N7" i="12"/>
  <c r="N25" i="12" s="1"/>
  <c r="N6" i="12"/>
  <c r="N5" i="12"/>
  <c r="N4" i="12"/>
  <c r="N3" i="12"/>
  <c r="N2" i="12"/>
  <c r="O25" i="11"/>
  <c r="M25" i="11"/>
  <c r="L25" i="11"/>
  <c r="K25" i="11"/>
  <c r="J25" i="11"/>
  <c r="I25" i="11"/>
  <c r="E25" i="11"/>
  <c r="C25" i="11"/>
  <c r="B25" i="11"/>
  <c r="M24" i="11"/>
  <c r="L24" i="11"/>
  <c r="K24" i="11"/>
  <c r="J24" i="11"/>
  <c r="I24" i="11"/>
  <c r="H24" i="11"/>
  <c r="H25" i="11" s="1"/>
  <c r="G24" i="11"/>
  <c r="G25" i="11" s="1"/>
  <c r="F24" i="11"/>
  <c r="F25" i="11" s="1"/>
  <c r="E24" i="11"/>
  <c r="D24" i="11"/>
  <c r="N24" i="11" s="1"/>
  <c r="H24" i="3" s="1"/>
  <c r="C24" i="11"/>
  <c r="N23" i="11"/>
  <c r="N22" i="11"/>
  <c r="N21" i="11"/>
  <c r="N20" i="11"/>
  <c r="N19" i="11"/>
  <c r="H19" i="3" s="1"/>
  <c r="N18" i="11"/>
  <c r="N17" i="11"/>
  <c r="N16" i="11"/>
  <c r="N15" i="11"/>
  <c r="N14" i="11"/>
  <c r="H14" i="3" s="1"/>
  <c r="N13" i="11"/>
  <c r="N12" i="11"/>
  <c r="N11" i="11"/>
  <c r="N10" i="11"/>
  <c r="N9" i="11"/>
  <c r="H9" i="3" s="1"/>
  <c r="N8" i="11"/>
  <c r="N7" i="11"/>
  <c r="N6" i="11"/>
  <c r="N5" i="11"/>
  <c r="N4" i="11"/>
  <c r="H4" i="3" s="1"/>
  <c r="N3" i="11"/>
  <c r="N2" i="11"/>
  <c r="H25" i="10"/>
  <c r="G25" i="10"/>
  <c r="D25" i="10"/>
  <c r="C25" i="10"/>
  <c r="J24" i="10"/>
  <c r="H24" i="10"/>
  <c r="G24" i="10"/>
  <c r="F24" i="10"/>
  <c r="F25" i="10" s="1"/>
  <c r="E24" i="10"/>
  <c r="E25" i="10" s="1"/>
  <c r="D24" i="10"/>
  <c r="C24" i="10"/>
  <c r="B24" i="10"/>
  <c r="B25" i="10" s="1"/>
  <c r="N23" i="10"/>
  <c r="N22" i="10"/>
  <c r="N21" i="10"/>
  <c r="N20" i="10"/>
  <c r="N19" i="10"/>
  <c r="N18" i="10"/>
  <c r="N17" i="10"/>
  <c r="N16" i="10"/>
  <c r="N15" i="10"/>
  <c r="I15" i="3" s="1"/>
  <c r="N14" i="10"/>
  <c r="N13" i="10"/>
  <c r="N12" i="10"/>
  <c r="N11" i="10"/>
  <c r="N10" i="10"/>
  <c r="N9" i="10"/>
  <c r="N8" i="10"/>
  <c r="N7" i="10"/>
  <c r="N6" i="10"/>
  <c r="N5" i="10"/>
  <c r="I5" i="3" s="1"/>
  <c r="N4" i="10"/>
  <c r="N3" i="10"/>
  <c r="N2" i="10"/>
  <c r="M26" i="9"/>
  <c r="L26" i="9"/>
  <c r="K26" i="9"/>
  <c r="J26" i="9"/>
  <c r="I26" i="9"/>
  <c r="H26" i="9"/>
  <c r="G26" i="9"/>
  <c r="F26" i="9"/>
  <c r="E26" i="9"/>
  <c r="D26" i="9"/>
  <c r="C26" i="9"/>
  <c r="B26" i="9"/>
  <c r="N25" i="9"/>
  <c r="N24" i="9"/>
  <c r="N23" i="9"/>
  <c r="J23" i="3" s="1"/>
  <c r="N22" i="9"/>
  <c r="N21" i="9"/>
  <c r="J21" i="3" s="1"/>
  <c r="N20" i="9"/>
  <c r="N19" i="9"/>
  <c r="N18" i="9"/>
  <c r="J18" i="3" s="1"/>
  <c r="N17" i="9"/>
  <c r="N16" i="9"/>
  <c r="N15" i="9"/>
  <c r="N14" i="9"/>
  <c r="N13" i="9"/>
  <c r="J13" i="3" s="1"/>
  <c r="N12" i="9"/>
  <c r="N11" i="9"/>
  <c r="J11" i="3" s="1"/>
  <c r="N10" i="9"/>
  <c r="N9" i="9"/>
  <c r="N8" i="9"/>
  <c r="J8" i="3" s="1"/>
  <c r="N7" i="9"/>
  <c r="N6" i="9"/>
  <c r="N5" i="9"/>
  <c r="N4" i="9"/>
  <c r="N3" i="9"/>
  <c r="J3" i="3" s="1"/>
  <c r="N2" i="9"/>
  <c r="N26" i="9" s="1"/>
  <c r="M25" i="8"/>
  <c r="L25" i="8"/>
  <c r="K25" i="8"/>
  <c r="J25" i="8"/>
  <c r="I25" i="8"/>
  <c r="H25" i="8"/>
  <c r="G25" i="8"/>
  <c r="F25" i="8"/>
  <c r="E25" i="8"/>
  <c r="D25" i="8"/>
  <c r="C25" i="8"/>
  <c r="B25" i="8"/>
  <c r="N24" i="8"/>
  <c r="D24" i="8"/>
  <c r="N23" i="8"/>
  <c r="N22" i="8"/>
  <c r="N21" i="8"/>
  <c r="N20" i="8"/>
  <c r="N19" i="8"/>
  <c r="K19" i="3" s="1"/>
  <c r="N18" i="8"/>
  <c r="N17" i="8"/>
  <c r="N16" i="8"/>
  <c r="N15" i="8"/>
  <c r="N14" i="8"/>
  <c r="N13" i="8"/>
  <c r="N12" i="8"/>
  <c r="N11" i="8"/>
  <c r="N10" i="8"/>
  <c r="N9" i="8"/>
  <c r="K9" i="3" s="1"/>
  <c r="N8" i="8"/>
  <c r="N7" i="8"/>
  <c r="N6" i="8"/>
  <c r="N5" i="8"/>
  <c r="N4" i="8"/>
  <c r="N3" i="8"/>
  <c r="N2" i="8"/>
  <c r="N25" i="8" s="1"/>
  <c r="M25" i="7"/>
  <c r="L25" i="7"/>
  <c r="J25" i="7"/>
  <c r="I25" i="7"/>
  <c r="G25" i="7"/>
  <c r="F25" i="7"/>
  <c r="E25" i="7"/>
  <c r="D25" i="7"/>
  <c r="C25" i="7"/>
  <c r="B25" i="7"/>
  <c r="N24" i="7"/>
  <c r="M24" i="7"/>
  <c r="L24" i="7"/>
  <c r="K24" i="7"/>
  <c r="C24" i="7"/>
  <c r="K23" i="7"/>
  <c r="K25" i="7" s="1"/>
  <c r="N22" i="7"/>
  <c r="L22" i="3" s="1"/>
  <c r="N21" i="7"/>
  <c r="N20" i="7"/>
  <c r="L20" i="3" s="1"/>
  <c r="N19" i="7"/>
  <c r="N18" i="7"/>
  <c r="N17" i="7"/>
  <c r="L17" i="3" s="1"/>
  <c r="N16" i="7"/>
  <c r="N15" i="7"/>
  <c r="N14" i="7"/>
  <c r="N13" i="7"/>
  <c r="K13" i="7"/>
  <c r="N12" i="7"/>
  <c r="L12" i="3" s="1"/>
  <c r="N11" i="7"/>
  <c r="N10" i="7"/>
  <c r="L10" i="3" s="1"/>
  <c r="N9" i="7"/>
  <c r="N8" i="7"/>
  <c r="N7" i="7"/>
  <c r="L7" i="3" s="1"/>
  <c r="N6" i="7"/>
  <c r="N5" i="7"/>
  <c r="N4" i="7"/>
  <c r="N3" i="7"/>
  <c r="H2" i="7"/>
  <c r="H25" i="7" s="1"/>
  <c r="B30" i="6"/>
  <c r="M26" i="6"/>
  <c r="L26" i="6"/>
  <c r="K26" i="6"/>
  <c r="J26" i="6"/>
  <c r="I26" i="6"/>
  <c r="H26" i="6"/>
  <c r="G26" i="6"/>
  <c r="F26" i="6"/>
  <c r="D26" i="6"/>
  <c r="N25" i="6"/>
  <c r="F25" i="6"/>
  <c r="E25" i="6"/>
  <c r="E26" i="6" s="1"/>
  <c r="D25" i="6"/>
  <c r="C25" i="6"/>
  <c r="B31" i="6" s="1"/>
  <c r="B25" i="6"/>
  <c r="B26" i="6" s="1"/>
  <c r="N24" i="6"/>
  <c r="N23" i="6"/>
  <c r="N22" i="6"/>
  <c r="N21" i="6"/>
  <c r="N20" i="6"/>
  <c r="M20" i="3" s="1"/>
  <c r="N19" i="6"/>
  <c r="N18" i="6"/>
  <c r="M18" i="3" s="1"/>
  <c r="N17" i="6"/>
  <c r="N16" i="6"/>
  <c r="N15" i="6"/>
  <c r="N14" i="6"/>
  <c r="N13" i="6"/>
  <c r="N12" i="6"/>
  <c r="N11" i="6"/>
  <c r="N10" i="6"/>
  <c r="M10" i="3" s="1"/>
  <c r="N9" i="6"/>
  <c r="N8" i="6"/>
  <c r="M8" i="3" s="1"/>
  <c r="N7" i="6"/>
  <c r="N6" i="6"/>
  <c r="N5" i="6"/>
  <c r="N4" i="6"/>
  <c r="B29" i="6" s="1"/>
  <c r="N3" i="6"/>
  <c r="N26" i="6" s="1"/>
  <c r="M25" i="3" s="1"/>
  <c r="N2" i="6"/>
  <c r="I1" i="5"/>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J11" i="4"/>
  <c r="G11" i="4"/>
  <c r="I11" i="4" s="1"/>
  <c r="K11" i="4" s="1"/>
  <c r="J10" i="4"/>
  <c r="G10" i="4"/>
  <c r="I10" i="4" s="1"/>
  <c r="K10" i="4" s="1"/>
  <c r="J9" i="4"/>
  <c r="G9" i="4"/>
  <c r="I9" i="4" s="1"/>
  <c r="K9" i="4" s="1"/>
  <c r="M8" i="4"/>
  <c r="J8" i="4"/>
  <c r="G8" i="4"/>
  <c r="I8" i="4" s="1"/>
  <c r="K8" i="4" s="1"/>
  <c r="M7" i="4"/>
  <c r="G7" i="4"/>
  <c r="I7" i="4" s="1"/>
  <c r="K7" i="4" s="1"/>
  <c r="G6" i="4"/>
  <c r="I6" i="4" s="1"/>
  <c r="K6" i="4" s="1"/>
  <c r="M5" i="4"/>
  <c r="K5" i="4"/>
  <c r="G5" i="4"/>
  <c r="M4" i="4"/>
  <c r="K4" i="4"/>
  <c r="G4" i="4"/>
  <c r="M3" i="4"/>
  <c r="K3" i="4"/>
  <c r="G3" i="4"/>
  <c r="Q2" i="4"/>
  <c r="K2" i="4"/>
  <c r="G2" i="4"/>
  <c r="Q1" i="4"/>
  <c r="Q3" i="4" s="1"/>
  <c r="M24" i="3"/>
  <c r="L24" i="3"/>
  <c r="K24" i="3"/>
  <c r="J24" i="3"/>
  <c r="I24" i="3"/>
  <c r="G24" i="3"/>
  <c r="F24" i="3"/>
  <c r="D24" i="3"/>
  <c r="C24" i="3"/>
  <c r="M23" i="3"/>
  <c r="K23" i="3"/>
  <c r="I23" i="3"/>
  <c r="H23" i="3"/>
  <c r="G23" i="3"/>
  <c r="F23" i="3"/>
  <c r="E23" i="3"/>
  <c r="D23" i="3"/>
  <c r="M22" i="3"/>
  <c r="K22" i="3"/>
  <c r="J22" i="3"/>
  <c r="I22" i="3"/>
  <c r="H22" i="3"/>
  <c r="G22" i="3"/>
  <c r="F22" i="3"/>
  <c r="E22" i="3"/>
  <c r="D22" i="3"/>
  <c r="C22" i="3"/>
  <c r="B22" i="3" s="1"/>
  <c r="M21" i="3"/>
  <c r="L21" i="3"/>
  <c r="K21" i="3"/>
  <c r="I21" i="3"/>
  <c r="H21" i="3"/>
  <c r="F21" i="3"/>
  <c r="E21" i="3"/>
  <c r="C21" i="3"/>
  <c r="K20" i="3"/>
  <c r="J20" i="3"/>
  <c r="I20" i="3"/>
  <c r="H20" i="3"/>
  <c r="G20" i="3"/>
  <c r="E20" i="3"/>
  <c r="D20" i="3"/>
  <c r="C20" i="3"/>
  <c r="M19" i="3"/>
  <c r="L19" i="3"/>
  <c r="J19" i="3"/>
  <c r="I19" i="3"/>
  <c r="G19" i="3"/>
  <c r="F19" i="3"/>
  <c r="E19" i="3"/>
  <c r="D19" i="3"/>
  <c r="C19" i="3"/>
  <c r="L18" i="3"/>
  <c r="K18" i="3"/>
  <c r="I18" i="3"/>
  <c r="H18" i="3"/>
  <c r="F18" i="3"/>
  <c r="E18" i="3"/>
  <c r="D18" i="3"/>
  <c r="C18" i="3"/>
  <c r="M17" i="3"/>
  <c r="K17" i="3"/>
  <c r="J17" i="3"/>
  <c r="I17" i="3"/>
  <c r="H17" i="3"/>
  <c r="G17" i="3"/>
  <c r="F17" i="3"/>
  <c r="D17" i="3"/>
  <c r="C17" i="3"/>
  <c r="M16" i="3"/>
  <c r="L16" i="3"/>
  <c r="K16" i="3"/>
  <c r="J16" i="3"/>
  <c r="I16" i="3"/>
  <c r="H16" i="3"/>
  <c r="G16" i="3"/>
  <c r="F16" i="3"/>
  <c r="E16" i="3"/>
  <c r="C16" i="3"/>
  <c r="M15" i="3"/>
  <c r="L15" i="3"/>
  <c r="K15" i="3"/>
  <c r="J15" i="3"/>
  <c r="H15" i="3"/>
  <c r="G15" i="3"/>
  <c r="E15" i="3"/>
  <c r="D15" i="3"/>
  <c r="M14" i="3"/>
  <c r="L14" i="3"/>
  <c r="K14" i="3"/>
  <c r="J14" i="3"/>
  <c r="I14" i="3"/>
  <c r="G14" i="3"/>
  <c r="F14" i="3"/>
  <c r="D14" i="3"/>
  <c r="C14" i="3"/>
  <c r="M13" i="3"/>
  <c r="L13" i="3"/>
  <c r="K13" i="3"/>
  <c r="I13" i="3"/>
  <c r="H13" i="3"/>
  <c r="G13" i="3"/>
  <c r="F13" i="3"/>
  <c r="E13" i="3"/>
  <c r="D13" i="3"/>
  <c r="M12" i="3"/>
  <c r="K12" i="3"/>
  <c r="J12" i="3"/>
  <c r="I12" i="3"/>
  <c r="H12" i="3"/>
  <c r="G12" i="3"/>
  <c r="F12" i="3"/>
  <c r="E12" i="3"/>
  <c r="D12" i="3"/>
  <c r="C12" i="3"/>
  <c r="B12" i="3" s="1"/>
  <c r="M11" i="3"/>
  <c r="L11" i="3"/>
  <c r="K11" i="3"/>
  <c r="I11" i="3"/>
  <c r="H11" i="3"/>
  <c r="F11" i="3"/>
  <c r="E11" i="3"/>
  <c r="C11" i="3"/>
  <c r="K10" i="3"/>
  <c r="J10" i="3"/>
  <c r="I10" i="3"/>
  <c r="H10" i="3"/>
  <c r="G10" i="3"/>
  <c r="E10" i="3"/>
  <c r="D10" i="3"/>
  <c r="B10" i="3" s="1"/>
  <c r="C10" i="3"/>
  <c r="M9" i="3"/>
  <c r="L9" i="3"/>
  <c r="J9" i="3"/>
  <c r="I9" i="3"/>
  <c r="G9" i="3"/>
  <c r="F9" i="3"/>
  <c r="B9" i="3" s="1"/>
  <c r="E9" i="3"/>
  <c r="D9" i="3"/>
  <c r="C9" i="3"/>
  <c r="L8" i="3"/>
  <c r="K8" i="3"/>
  <c r="I8" i="3"/>
  <c r="H8" i="3"/>
  <c r="F8" i="3"/>
  <c r="E8" i="3"/>
  <c r="D8" i="3"/>
  <c r="C8" i="3"/>
  <c r="M7" i="3"/>
  <c r="K7" i="3"/>
  <c r="J7" i="3"/>
  <c r="I7" i="3"/>
  <c r="H7" i="3"/>
  <c r="G7" i="3"/>
  <c r="F7" i="3"/>
  <c r="D7" i="3"/>
  <c r="C7" i="3"/>
  <c r="B7" i="3" s="1"/>
  <c r="M6" i="3"/>
  <c r="L6" i="3"/>
  <c r="K6" i="3"/>
  <c r="J6" i="3"/>
  <c r="I6" i="3"/>
  <c r="H6" i="3"/>
  <c r="G6" i="3"/>
  <c r="F6" i="3"/>
  <c r="E6" i="3"/>
  <c r="C6" i="3"/>
  <c r="M5" i="3"/>
  <c r="L5" i="3"/>
  <c r="K5" i="3"/>
  <c r="J5" i="3"/>
  <c r="H5" i="3"/>
  <c r="G5" i="3"/>
  <c r="E5" i="3"/>
  <c r="D5" i="3"/>
  <c r="D25" i="3" s="1"/>
  <c r="M4" i="3"/>
  <c r="L4" i="3"/>
  <c r="K4" i="3"/>
  <c r="J4" i="3"/>
  <c r="I4" i="3"/>
  <c r="G4" i="3"/>
  <c r="G25" i="3" s="1"/>
  <c r="F4" i="3"/>
  <c r="D4" i="3"/>
  <c r="C4" i="3"/>
  <c r="M3" i="3"/>
  <c r="L3" i="3"/>
  <c r="K3" i="3"/>
  <c r="I3" i="3"/>
  <c r="H3" i="3"/>
  <c r="G3" i="3"/>
  <c r="F3" i="3"/>
  <c r="E3" i="3"/>
  <c r="D3" i="3"/>
  <c r="M2" i="3"/>
  <c r="K2" i="3"/>
  <c r="K25" i="3" s="1"/>
  <c r="J2" i="3"/>
  <c r="J25" i="3" s="1"/>
  <c r="I2" i="3"/>
  <c r="I25" i="3" s="1"/>
  <c r="H2" i="3"/>
  <c r="G2" i="3"/>
  <c r="F2" i="3"/>
  <c r="F25" i="3" s="1"/>
  <c r="E2" i="3"/>
  <c r="D2" i="3"/>
  <c r="C2" i="3"/>
  <c r="B12" i="2"/>
  <c r="H5" i="2"/>
  <c r="E3" i="2"/>
  <c r="H2" i="2"/>
  <c r="E2" i="2"/>
  <c r="E5" i="2" s="1"/>
  <c r="B11" i="2" s="1"/>
  <c r="B18" i="3" l="1"/>
  <c r="B8" i="3"/>
  <c r="H25" i="3"/>
  <c r="B17" i="3"/>
  <c r="B19" i="3"/>
  <c r="B3" i="3"/>
  <c r="B13" i="3"/>
  <c r="B4" i="3"/>
  <c r="B11" i="3"/>
  <c r="B21" i="3"/>
  <c r="B14" i="3"/>
  <c r="B15" i="3"/>
  <c r="B20" i="3"/>
  <c r="N2" i="7"/>
  <c r="N24" i="14"/>
  <c r="E24" i="3" s="1"/>
  <c r="B24" i="3" s="1"/>
  <c r="B3" i="2" s="1"/>
  <c r="C5" i="3"/>
  <c r="B5" i="3" s="1"/>
  <c r="C25" i="3"/>
  <c r="D25" i="11"/>
  <c r="N25" i="11"/>
  <c r="N23" i="7"/>
  <c r="L23" i="3" s="1"/>
  <c r="B23" i="3" s="1"/>
  <c r="C26" i="6"/>
  <c r="N24" i="10"/>
  <c r="N25" i="10" s="1"/>
  <c r="L2" i="3" l="1"/>
  <c r="N25" i="7"/>
  <c r="E25" i="3"/>
  <c r="N25" i="14"/>
  <c r="L25" i="3" l="1"/>
  <c r="B2" i="3"/>
  <c r="B25" i="3" s="1"/>
  <c r="B2" i="2" s="1"/>
  <c r="B5" i="2" s="1"/>
  <c r="B9" i="2" s="1"/>
  <c r="B1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tc={c58654a9-7193-4f60-9113-a464694acfe3}</author>
    <author>tc={e40b3dab-830e-4e8c-8e26-824831248b13}</author>
  </authors>
  <commentList>
    <comment ref="E2" authorId="0" shapeId="0" xr:uid="{C58654A9-7193-4F60-9113-A464694ACFE3}">
      <text>
        <t>[Threaded comment]
Your version of Excel allows you to read this threaded comment; however, any edits to it will get removed if the file is opened in a newer version of Excel. Learn more: https://go.microsoft.com/fwlink/?linkid=870924
Comment:
    This is an approximate date</t>
      </text>
    </comment>
    <comment ref="H2" authorId="1" shapeId="0" xr:uid="{E40B3DAB-830E-4E8C-8E26-824831248B13}">
      <text>
        <t>[Threaded comment]
Your version of Excel allows you to read this threaded comment; however, any edits to it will get removed if the file is opened in a newer version of Excel. Learn more: https://go.microsoft.com/fwlink/?linkid=870924
Comment:
    As Das is no longer available, we have written off the loan.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tc={e7ca9874-b29d-4d42-9876-3565dbbf74b7}</author>
    <author>tc={eaf0f95d-4098-4081-922e-6092169a55c5}</author>
    <author>tc={bab50cab-f3e9-418d-b6ff-c8396b758f16}</author>
    <author>tc={5c80932c-2454-49d5-9941-3756de75de16}</author>
    <author>tc={8c79394d-3782-477a-babd-a16113ee8b47}</author>
  </authors>
  <commentList>
    <comment ref="I8" authorId="0" shapeId="0" xr:uid="{E7CA9874-B29D-4D42-9876-3565DBBF74B7}">
      <text>
        <t>[Threaded comment]
Your version of Excel allows you to read this threaded comment; however, any edits to it will get removed if the file is opened in a newer version of Excel. Learn more: https://go.microsoft.com/fwlink/?linkid=870924
Comment:
    Need to separate interest and contribution</t>
      </text>
    </comment>
    <comment ref="J8" authorId="1" shapeId="0" xr:uid="{EAF0F95D-4098-4081-922E-6092169A55C5}">
      <text>
        <t>[Threaded comment]
Your version of Excel allows you to read this threaded comment; however, any edits to it will get removed if the file is opened in a newer version of Excel. Learn more: https://go.microsoft.com/fwlink/?linkid=870924
Comment:
    Need to check how much interest in it</t>
      </text>
    </comment>
    <comment ref="K12" authorId="2" shapeId="0" xr:uid="{BAB50CAB-F3E9-418D-B6FF-C8396B758F16}">
      <text>
        <t>[Threaded comment]
Your version of Excel allows you to read this threaded comment; however, any edits to it will get removed if the file is opened in a newer version of Excel. Learn more: https://go.microsoft.com/fwlink/?linkid=870924
Comment:
    Need to separate the interest amount in this</t>
      </text>
    </comment>
    <comment ref="I13" authorId="3" shapeId="0" xr:uid="{5C80932C-2454-49D5-9941-3756DE75DE16}">
      <text>
        <t>[Threaded comment]
Your version of Excel allows you to read this threaded comment; however, any edits to it will get removed if the file is opened in a newer version of Excel. Learn more: https://go.microsoft.com/fwlink/?linkid=870924
Comment:
    In this, interest needs to separate out</t>
      </text>
    </comment>
    <comment ref="J13" authorId="4" shapeId="0" xr:uid="{8C79394D-3782-477A-BABD-A16113EE8B47}">
      <text>
        <t>[Threaded comment]
Your version of Excel allows you to read this threaded comment; however, any edits to it will get removed if the file is opened in a newer version of Excel. Learn more: https://go.microsoft.com/fwlink/?linkid=870924
Comment:
    In this interest amount should be separate it.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tc={fbc5788a-d33b-411d-967b-f3e9bcc8e575}</author>
    <author>tc={d5cfa1c6-d098-47ab-9416-7791341bf9ec}</author>
    <author>tc={4db2d066-34da-47b5-8f03-cddce8cc45c6}</author>
  </authors>
  <commentList>
    <comment ref="D5" authorId="0" shapeId="0" xr:uid="{FBC5788A-D33B-411D-967B-F3E9BCC8E575}">
      <text>
        <t>[Threaded comment]
Your version of Excel allows you to read this threaded comment; however, any edits to it will get removed if the file is opened in a newer version of Excel. Learn more: https://go.microsoft.com/fwlink/?linkid=870924
Comment:
    Whether for March or April?</t>
      </text>
    </comment>
    <comment ref="G13" authorId="1" shapeId="0" xr:uid="{D5CFA1C6-D098-47AB-9416-7791341BF9EC}">
      <text>
        <t>[Threaded comment]
Your version of Excel allows you to read this threaded comment; however, any edits to it will get removed if the file is opened in a newer version of Excel. Learn more: https://go.microsoft.com/fwlink/?linkid=870924
Comment:
    Need to check interest and contribution share</t>
      </text>
    </comment>
    <comment ref="D24" authorId="2" shapeId="0" xr:uid="{4DB2D066-34DA-47B5-8F03-CDDCE8CC45C6}">
      <text>
        <t>[Threaded comment]
Your version of Excel allows you to read this threaded comment; however, any edits to it will get removed if the file is opened in a newer version of Excel. Learn more: https://go.microsoft.com/fwlink/?linkid=870924
Comment:
    5K Interest from Sunil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tc={b39e3c7d-f977-4744-a868-b0ab89f1973e}</author>
    <author>tc={c53b9f8f-010c-4d8e-a351-3c09e325ec29}</author>
  </authors>
  <commentList>
    <comment ref="J22" authorId="0" shapeId="0" xr:uid="{B39E3C7D-F977-4744-A868-B0AB89F1973E}">
      <text>
        <t>[Threaded comment]
Your version of Excel allows you to read this threaded comment; however, any edits to it will get removed if the file is opened in a newer version of Excel. Learn more: https://go.microsoft.com/fwlink/?linkid=870924
Comment:
    Need to check whether these are two or only one transaction</t>
      </text>
    </comment>
    <comment ref="F24" authorId="1" shapeId="0" xr:uid="{C53B9F8F-010C-4D8E-A351-3C09E325EC29}">
      <text>
        <t>[Threaded comment]
Your version of Excel allows you to read this threaded comment; however, any edits to it will get removed if the file is opened in a newer version of Excel. Learn more: https://go.microsoft.com/fwlink/?linkid=870924
Comment:
    First contribution</t>
      </text>
    </comment>
  </commentList>
</comments>
</file>

<file path=xl/sharedStrings.xml><?xml version="1.0" encoding="utf-8"?>
<sst xmlns="http://schemas.openxmlformats.org/spreadsheetml/2006/main" count="683" uniqueCount="224">
  <si>
    <t>Member Name</t>
  </si>
  <si>
    <t>Email Id</t>
  </si>
  <si>
    <t>Kothacheruvu Anil Kumar Reddy</t>
  </si>
  <si>
    <t>Chittiboyina Ramanjaneyulu</t>
  </si>
  <si>
    <t>anjimca48@gmail.com</t>
  </si>
  <si>
    <t>Chintalapalli Srinith</t>
  </si>
  <si>
    <t>srimca67@gmail.com</t>
  </si>
  <si>
    <t>Rallabandi Venkata Narasimha Charlu</t>
  </si>
  <si>
    <t>venkat.0082@gmail.com</t>
  </si>
  <si>
    <t>Bhagavan Das</t>
  </si>
  <si>
    <t>Jetty Harikrishna Krishna</t>
  </si>
  <si>
    <t>hkjetti@gmail.com</t>
  </si>
  <si>
    <t>Darisiguntla Lakshmi Narayana</t>
  </si>
  <si>
    <t>dlnarayana.mca29@gmail.com</t>
  </si>
  <si>
    <t>Chindukuri Mallikarjuna</t>
  </si>
  <si>
    <t>malli.chindukuri@gmail.com</t>
  </si>
  <si>
    <t>Malli Sunil Kumar</t>
  </si>
  <si>
    <t>mallisunilmca69@gmail.com</t>
  </si>
  <si>
    <t>Korrakuti Paramesh</t>
  </si>
  <si>
    <t>paramesh.java5@gmail.com</t>
  </si>
  <si>
    <t>Ponugoti Prasad</t>
  </si>
  <si>
    <t>prasadnaidu271985@gmail.com</t>
  </si>
  <si>
    <t>Bollam Samba Siva Reddy</t>
  </si>
  <si>
    <t>sambamca06@gmail.com</t>
  </si>
  <si>
    <t>Biddala Sandeep Kumar Reddy</t>
  </si>
  <si>
    <t>Gopathi Sheshagiri</t>
  </si>
  <si>
    <t>Duggireddy Srinath Reddy</t>
  </si>
  <si>
    <t>sreemca65@gmail.com</t>
  </si>
  <si>
    <t>Meda Sunil Kumar Reddy</t>
  </si>
  <si>
    <t>Kollai Venkateswarlu</t>
  </si>
  <si>
    <t>venky.kollai@gmail.com</t>
  </si>
  <si>
    <t>Oleti Viswanath</t>
  </si>
  <si>
    <t>viswanath.mca0688@gmail.com</t>
  </si>
  <si>
    <t>Thummalapalli Guru Prasanna Lakshmi</t>
  </si>
  <si>
    <t>lakshmi.talk6@gmail.com</t>
  </si>
  <si>
    <t xml:space="preserve">Prakash Policherla </t>
  </si>
  <si>
    <t>prakash.mca42@gmail.com</t>
  </si>
  <si>
    <t>Panditi Trinath Gupta</t>
  </si>
  <si>
    <t>trinathgupta.p@gmail.com</t>
  </si>
  <si>
    <t>Koppavarapu Sudhakar</t>
  </si>
  <si>
    <t>sudhakar487248@gmail.com</t>
  </si>
  <si>
    <t>Contributions</t>
  </si>
  <si>
    <t>Loans</t>
  </si>
  <si>
    <t>Donations</t>
  </si>
  <si>
    <t>Total Contrbuitions</t>
  </si>
  <si>
    <t>Current Loan Value</t>
  </si>
  <si>
    <t>Donated so far</t>
  </si>
  <si>
    <t>Interest Earned (Bank, Loans, etc)</t>
  </si>
  <si>
    <t>Bad Debts</t>
  </si>
  <si>
    <t>Grand Total</t>
  </si>
  <si>
    <t>Reconcilation</t>
  </si>
  <si>
    <t>Current Balance</t>
  </si>
  <si>
    <t xml:space="preserve">Loans </t>
  </si>
  <si>
    <t>Reconcilation Amount</t>
  </si>
  <si>
    <t>Name</t>
  </si>
  <si>
    <t>Total</t>
  </si>
  <si>
    <t>2016</t>
  </si>
  <si>
    <t>2017</t>
  </si>
  <si>
    <t>2018</t>
  </si>
  <si>
    <t>2019</t>
  </si>
  <si>
    <t>2020</t>
  </si>
  <si>
    <t>2021</t>
  </si>
  <si>
    <t>2022</t>
  </si>
  <si>
    <t>2023</t>
  </si>
  <si>
    <t>2024</t>
  </si>
  <si>
    <t>2025</t>
  </si>
  <si>
    <t>2026</t>
  </si>
  <si>
    <t>Prakash</t>
  </si>
  <si>
    <t>Bank Intrest/M.chit / Loans Interest</t>
  </si>
  <si>
    <t>SNO</t>
  </si>
  <si>
    <t>Amount</t>
  </si>
  <si>
    <t>Loan Type</t>
  </si>
  <si>
    <t>Start Date</t>
  </si>
  <si>
    <t>End Date</t>
  </si>
  <si>
    <t>Duration</t>
  </si>
  <si>
    <t>Status</t>
  </si>
  <si>
    <t>Interest Payable</t>
  </si>
  <si>
    <t>Interest Paid</t>
  </si>
  <si>
    <t>Interest Due</t>
  </si>
  <si>
    <t>Principal Paid</t>
  </si>
  <si>
    <t>Balance</t>
  </si>
  <si>
    <t>Bad Debt</t>
  </si>
  <si>
    <t>Remarks</t>
  </si>
  <si>
    <t>Active Loan</t>
  </si>
  <si>
    <t>Personal</t>
  </si>
  <si>
    <t>Write Off</t>
  </si>
  <si>
    <t>Interest free loan for his business.</t>
  </si>
  <si>
    <t>Write Offs</t>
  </si>
  <si>
    <t>Paid</t>
  </si>
  <si>
    <t>For his financial needs to set up his new home.</t>
  </si>
  <si>
    <t>Medical</t>
  </si>
  <si>
    <t>For his mother health expenses.</t>
  </si>
  <si>
    <t>Interest free loan for his house construction.</t>
  </si>
  <si>
    <t>For buying car</t>
  </si>
  <si>
    <t>Active</t>
  </si>
  <si>
    <t>Interest free loan for first 6 months.</t>
  </si>
  <si>
    <t>For business reasons</t>
  </si>
  <si>
    <t>For persnal reasons</t>
  </si>
  <si>
    <t>Victim Name</t>
  </si>
  <si>
    <t>Referred By</t>
  </si>
  <si>
    <t>Date</t>
  </si>
  <si>
    <t>Self</t>
  </si>
  <si>
    <t>To help his medical issues.</t>
  </si>
  <si>
    <t>Naidruva</t>
  </si>
  <si>
    <t>Lakshmi Narayana</t>
  </si>
  <si>
    <t>Sampoorna</t>
  </si>
  <si>
    <t>Education</t>
  </si>
  <si>
    <t>Jagadeesh</t>
  </si>
  <si>
    <t>Mallikarjuna</t>
  </si>
  <si>
    <t>Narasimhulu Oruganti</t>
  </si>
  <si>
    <t>Anji</t>
  </si>
  <si>
    <t>Master Harinath</t>
  </si>
  <si>
    <t>Sunil Malli</t>
  </si>
  <si>
    <t>To help medical issues</t>
  </si>
  <si>
    <t>Shesagiri</t>
  </si>
  <si>
    <t>Jan</t>
  </si>
  <si>
    <t>Feb</t>
  </si>
  <si>
    <t>Mar</t>
  </si>
  <si>
    <t>Apr</t>
  </si>
  <si>
    <t>May</t>
  </si>
  <si>
    <t>Jun</t>
  </si>
  <si>
    <t>July</t>
  </si>
  <si>
    <t>Aug</t>
  </si>
  <si>
    <t>Sep</t>
  </si>
  <si>
    <t>Oct</t>
  </si>
  <si>
    <t>Nov</t>
  </si>
  <si>
    <t>Dec</t>
  </si>
  <si>
    <t>Bank Intrest</t>
  </si>
  <si>
    <t>Loans Intrest</t>
  </si>
  <si>
    <t>Summary</t>
  </si>
  <si>
    <t>Bank Interest</t>
  </si>
  <si>
    <t>Loans Interest</t>
  </si>
  <si>
    <t>Bank Intrest/M.chit/Loans Intrest</t>
  </si>
  <si>
    <t>15/03 - 10K credited from Bhagavan Das towards Principal</t>
  </si>
  <si>
    <t>10/04 - 29K credited from GPRS. Need to check the proportion in that.</t>
  </si>
  <si>
    <t>Ranga Reddy</t>
  </si>
  <si>
    <t>`</t>
  </si>
  <si>
    <t>JAN</t>
  </si>
  <si>
    <t>FEB</t>
  </si>
  <si>
    <t>MAR</t>
  </si>
  <si>
    <t>APR</t>
  </si>
  <si>
    <t>MAY</t>
  </si>
  <si>
    <t>JUNE</t>
  </si>
  <si>
    <t>JULY</t>
  </si>
  <si>
    <t>AUG</t>
  </si>
  <si>
    <t>SEP</t>
  </si>
  <si>
    <t>OCT</t>
  </si>
  <si>
    <t>NOV</t>
  </si>
  <si>
    <t>DEC</t>
  </si>
  <si>
    <t>Bank Intrest/M.chit</t>
  </si>
  <si>
    <t>Duggireddy Sreenadh Reddy</t>
  </si>
  <si>
    <t>Total-2016</t>
  </si>
  <si>
    <t>C.Mallikarjuna</t>
  </si>
  <si>
    <t>27-07-2020</t>
  </si>
  <si>
    <t>Attendees</t>
  </si>
  <si>
    <t>Mallikarjuna C, Seshagiri G, Bhagvan Das, Prasad P, Anil K, Sreenath CH, Sreenath reddy, Sunil Kumar Reddy, M Sunil Kumar, Samba B, O Viswanath, Sandeep B, Paramesh K, J Hari Krishna, Chari VN, Lakshmi Narayana</t>
  </si>
  <si>
    <t>Non Attendees</t>
  </si>
  <si>
    <t>Prakash P, Anji, Venkateswarulu
Trinath, Guru Prasanna Lakshmi (New members)</t>
  </si>
  <si>
    <t>General notes</t>
  </si>
  <si>
    <t>1. We all thank Malli C for holding this group together by his tremendous efforts and good will.
2. We all need to commend ourselves for running this group steadfastly for 4 years.  There are highs and lows but we all agree that it's still a great achievement.
3. We regret that we were not able to act on one of the requests timely and decided not to repeat this again.
4. We all are friends in first place and this is a place to help each other out.  Feel free to discuss any financial necessities like loans with whomever is your closest SPOC/member.
5. To encourage other AITS friends to join FCF by reaching out to them.
6. Helping non FCF members came up and we decided member closer to them can reach out to them and encourage to come up with a plan.</t>
  </si>
  <si>
    <t>Below are the resolutions as per our 27/Jul/2020 Zoom meeting</t>
  </si>
  <si>
    <t>Paramesh</t>
  </si>
  <si>
    <r>
      <rPr>
        <b/>
        <u/>
        <sz val="10"/>
        <color rgb="FF1155CC"/>
        <rFont val="Arial"/>
        <family val="2"/>
      </rPr>
      <t>S.No</t>
    </r>
    <r>
      <rPr>
        <b/>
        <sz val="10"/>
        <rFont val="Arial"/>
        <family val="2"/>
      </rPr>
      <t>.</t>
    </r>
  </si>
  <si>
    <t>Resolution</t>
  </si>
  <si>
    <t>Member responsible</t>
  </si>
  <si>
    <t>opinion</t>
  </si>
  <si>
    <t>Confirmation</t>
  </si>
  <si>
    <t>The distinction as Refundable/Non Refundable members is discontinued.</t>
  </si>
  <si>
    <t>All</t>
  </si>
  <si>
    <t>Need to discuss on this in forth coming FCF conference.</t>
  </si>
  <si>
    <t>This has been agreed by all the people in the meeting. Still there is an option to decide at the end rather than declaring at initial.</t>
  </si>
  <si>
    <t>Members will be allowed to decide whether they want their contributions back or donate to any charity at the time of leaving or closure of FCF.</t>
  </si>
  <si>
    <t xml:space="preserve">ok </t>
  </si>
  <si>
    <t>Contribution refunds will be minus any member's contribution towards bad debts/expenses/social contributions</t>
  </si>
  <si>
    <t>We will try to register as a trust if its feasible.  Malli to look into the details and call out for any help required from members</t>
  </si>
  <si>
    <t>Malli C</t>
  </si>
  <si>
    <t>ok</t>
  </si>
  <si>
    <t>The immediate help for health reasons is still confined to immediate family members(Parents, Spouse &amp; Children) but members are actively encouraged to reach out for help if any others(siblings/in laws etc) need financial help for health reasons.  We will use Social fund for this and where this might not be possible might consider an exception on members agreement.</t>
  </si>
  <si>
    <t>Members are encouraged to seek out actively for any loans if they have any financial necessities.
Members should understand we will decide based on the financial reserves at the time.</t>
  </si>
  <si>
    <t>Social help will continue based on a quarterly budget basis of 25k.  Please flag any requests as soon as you can to allow enough time for all the members to respond.</t>
  </si>
  <si>
    <r>
      <t xml:space="preserve">Based on past history of donations..we did not cross 35k per </t>
    </r>
    <r>
      <rPr>
        <u/>
        <sz val="10"/>
        <color rgb="FF1155CC"/>
        <rFont val="Arial"/>
        <family val="2"/>
      </rPr>
      <t>anuum.</t>
    </r>
    <r>
      <rPr>
        <sz val="10"/>
        <color rgb="FF000000"/>
        <rFont val="Arial"/>
      </rPr>
      <t xml:space="preserve">social help 25k  Per Quarter may not possible.  </t>
    </r>
    <r>
      <rPr>
        <u/>
        <sz val="10"/>
        <color rgb="FF1155CC"/>
        <rFont val="Arial"/>
        <family val="2"/>
      </rPr>
      <t>So</t>
    </r>
    <r>
      <rPr>
        <sz val="10"/>
        <color rgb="FF000000"/>
        <rFont val="Arial"/>
      </rPr>
      <t xml:space="preserve"> my opinion is need to make change in that.</t>
    </r>
  </si>
  <si>
    <t>We can keep 10K per quarter. Can carry forward the amount, if past quarter not utilised.</t>
  </si>
  <si>
    <t>We will try to change the account to a joint account and try to share the credentials on a rotation basis so that Malli alone is not burdened to manage the entire financial book keeping.</t>
  </si>
  <si>
    <t>Clarification that we will continue to contribute to FCF as there was a confusion that we dont need to contribute once corpus fund is reached.</t>
  </si>
  <si>
    <t>we decided (in conference meeting )that we will come to some clarity over this in forth coming FCF meetings. After that only we will figure out corpus fund value with the all members acceptance.</t>
  </si>
  <si>
    <t>To have quarterly/half yearly catchups to discuss our status and consider any improvements to the previous resolutions.</t>
  </si>
  <si>
    <t>Anil</t>
  </si>
  <si>
    <t>General Rules (2023 Meet)</t>
  </si>
  <si>
    <t>- Raise Fixed Corpus Fund to ₹5L, with yearly 20% increments or depends on inflation.</t>
  </si>
  <si>
    <t>- Personal loans are not feasible to offer until the principal reaches the fixed corpus, except for medical loans.</t>
  </si>
  <si>
    <t>- Increase the monthly contributions from ₹500 to ₹600, with an annual review to adjust for inflation, while also considering everyone's financial circumstances.</t>
  </si>
  <si>
    <t>- Increase personal loan interest rate from 6% to 8%. This ensures more professional and sustainable fund management, primarily maintained for friends. Note that those taking loans contribute to the fund, fostering shared responsibility and mutual support.</t>
  </si>
  <si>
    <t>- Current: ₹600/- for 1 Lakh</t>
  </si>
  <si>
    <t>- New: ₹650/- for 1 Lakh</t>
  </si>
  <si>
    <t>- Personal loan tenure should not exceed 6 months, unless there are exceptional circumstances such as natural disasters, job loss, or other significant hardships. This ensures the fund can benefit all contributors, who are in need rather than being tied up in long-term loans by a single member.</t>
  </si>
  <si>
    <t>- Identify individuals who are not actively contributing and request them to match the actual contributions gradually over a period of 6 months to help raise the fund.</t>
  </si>
  <si>
    <t>- Calculate TDS to pay to Govt from interest and other earnings from the fund and adjust in the principal.</t>
  </si>
  <si>
    <t>anil.kothacheruvu@gmail.com</t>
  </si>
  <si>
    <t>bagavandas.g@gmail.com</t>
  </si>
  <si>
    <t>sandeep.mca56@gmail.com</t>
  </si>
  <si>
    <t>sheshagiri.gopathi@gmail.com</t>
  </si>
  <si>
    <t>sunilreddy.meda@gmail.com</t>
  </si>
  <si>
    <t>+44 7405826322</t>
  </si>
  <si>
    <t>Phone Number</t>
  </si>
  <si>
    <t>+91 9703973857</t>
  </si>
  <si>
    <t>+91 7337247237</t>
  </si>
  <si>
    <t>+91 8096069176</t>
  </si>
  <si>
    <t>+1 4379914275</t>
  </si>
  <si>
    <t>+91 8088762596</t>
  </si>
  <si>
    <t>+61 410013839</t>
  </si>
  <si>
    <t>+91 9611916549</t>
  </si>
  <si>
    <t>+91 9686667810</t>
  </si>
  <si>
    <t>+91 9703318047</t>
  </si>
  <si>
    <t>+91 9030702973</t>
  </si>
  <si>
    <t>+91 7760055839</t>
  </si>
  <si>
    <t>+91 7200201676</t>
  </si>
  <si>
    <t>+1 4372416006</t>
  </si>
  <si>
    <t>+91 9742200259</t>
  </si>
  <si>
    <t>+91 9986717002</t>
  </si>
  <si>
    <t>+91 9885272070</t>
  </si>
  <si>
    <t>+1 2484801790</t>
  </si>
  <si>
    <t>+91 9845584288</t>
  </si>
  <si>
    <t>+91 8885359545</t>
  </si>
  <si>
    <t>+49 15145257581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</si>
</sst>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0"/>
    <numFmt numFmtId="166" formatCode="dd&quot;-&quot;mmm&quot;-&quot;yyyy"/>
    <numFmt numFmtId="167" formatCode="mm\-dd\-yyyy"/>
  </numFmts>
  <fonts count="19">
    <font>
      <sz val="10"/>
      <color rgb="FF000000"/>
      <name val="Arial"/>
    </font>
    <font>
      <sz val="10"/>
      <color rgb="FFFFFFFF"/>
      <name val="Roboto"/>
    </font>
    <font>
      <sz val="11"/>
      <color rgb="FF000000"/>
      <name val="Calibri"/>
      <family val="2"/>
    </font>
    <font>
      <sz val="10"/>
      <color rgb="FF434343"/>
      <name val="Roboto"/>
    </font>
    <font>
      <sz val="10"/>
      <color rgb="FF000000"/>
      <name val="&quot;Times New Roman&quot;"/>
    </font>
    <font>
      <b/>
      <sz val="10"/>
      <color rgb="FFF6F8F9"/>
      <name val="Roboto"/>
    </font>
    <font>
      <sz val="10"/>
      <name val="Arial"/>
      <family val="2"/>
    </font>
    <font>
      <sz val="10"/>
      <name val="Roboto"/>
    </font>
    <font>
      <b/>
      <sz val="10"/>
      <name val="Roboto"/>
    </font>
    <font>
      <sz val="11"/>
      <color rgb="FFFFFFFF"/>
      <name val="Calibri"/>
      <family val="2"/>
    </font>
    <font>
      <sz val="10"/>
      <color rgb="FFF6F8F9"/>
      <name val="Arial"/>
      <family val="2"/>
    </font>
    <font>
      <sz val="10"/>
      <color rgb="FF000000"/>
      <name val="Arial"/>
      <family val="2"/>
    </font>
    <font>
      <sz val="10"/>
      <color rgb="FFFFFFFF"/>
      <name val="&quot;Times New Roman&quot;"/>
    </font>
    <font>
      <b/>
      <sz val="10"/>
      <name val="Arial"/>
      <family val="2"/>
    </font>
    <font>
      <b/>
      <u/>
      <sz val="10"/>
      <color rgb="FF0000FF"/>
      <name val="Arial"/>
      <family val="2"/>
    </font>
    <font>
      <u/>
      <sz val="10"/>
      <color rgb="FF0000FF"/>
      <name val="Arial"/>
      <family val="2"/>
    </font>
    <font>
      <b/>
      <u/>
      <sz val="10"/>
      <color rgb="FF1155CC"/>
      <name val="Arial"/>
      <family val="2"/>
    </font>
    <font>
      <u/>
      <sz val="10"/>
      <color rgb="FF1155CC"/>
      <name val="Arial"/>
      <family val="2"/>
    </font>
    <font>
      <u/>
      <sz val="10"/>
      <color theme="10"/>
      <name val="Arial"/>
      <family val="2"/>
    </font>
  </fonts>
  <fills count="15">
    <fill>
      <patternFill patternType="none"/>
    </fill>
    <fill>
      <patternFill patternType="gray125"/>
    </fill>
    <fill>
      <patternFill patternType="solid">
        <fgColor rgb="FFF79646"/>
        <bgColor rgb="FFF79646"/>
      </patternFill>
    </fill>
    <fill>
      <patternFill patternType="solid">
        <fgColor rgb="FF57BB8A"/>
        <bgColor rgb="FF57BB8A"/>
      </patternFill>
    </fill>
    <fill>
      <patternFill patternType="solid">
        <fgColor rgb="FF00B0F0"/>
        <bgColor rgb="FF00B0F0"/>
      </patternFill>
    </fill>
    <fill>
      <patternFill patternType="solid">
        <fgColor rgb="FFA61C00"/>
        <bgColor rgb="FFA61C00"/>
      </patternFill>
    </fill>
    <fill>
      <patternFill patternType="solid">
        <fgColor rgb="FF92D050"/>
        <bgColor rgb="FF92D050"/>
      </patternFill>
    </fill>
    <fill>
      <patternFill patternType="solid">
        <fgColor rgb="FF00FFFF"/>
        <bgColor rgb="FF00FFFF"/>
      </patternFill>
    </fill>
    <fill>
      <patternFill patternType="solid">
        <fgColor rgb="FFF6F8F9"/>
        <bgColor rgb="FFF6F8F9"/>
      </patternFill>
    </fill>
    <fill>
      <patternFill patternType="solid">
        <fgColor rgb="FFB6D7A8"/>
        <bgColor rgb="FFB6D7A8"/>
      </patternFill>
    </fill>
    <fill>
      <patternFill patternType="solid">
        <fgColor rgb="FFD0E0E3"/>
        <bgColor rgb="FFD0E0E3"/>
      </patternFill>
    </fill>
    <fill>
      <patternFill patternType="solid">
        <fgColor rgb="FF9900FF"/>
        <bgColor rgb="FF9900FF"/>
      </patternFill>
    </fill>
    <fill>
      <patternFill patternType="solid">
        <fgColor rgb="FFFFFF00"/>
        <bgColor rgb="FFFFFF00"/>
      </patternFill>
    </fill>
    <fill>
      <patternFill patternType="solid">
        <fgColor rgb="FFFFFFFF"/>
        <bgColor rgb="FFFFFFFF"/>
      </patternFill>
    </fill>
    <fill>
      <patternFill patternType="solid">
        <fgColor rgb="FFFF00FF"/>
        <bgColor rgb="FFFF00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8" fillId="0" borderId="0" applyNumberFormat="0" applyFill="0" applyBorder="0" applyAlignment="0" applyProtection="0"/>
  </cellStyleXfs>
  <cellXfs count="71">
    <xf numFmtId="0" fontId="0" fillId="0" borderId="0" xfId="0"/>
    <xf numFmtId="0" fontId="1" fillId="0" borderId="0" xfId="0" applyFont="1" applyAlignment="1">
      <alignment horizontal="left" vertical="center"/>
    </xf>
    <xf numFmtId="0" fontId="2" fillId="2" borderId="1" xfId="0" applyFont="1" applyFill="1" applyBorder="1"/>
    <xf numFmtId="0" fontId="3" fillId="0" borderId="1" xfId="0" applyFont="1" applyBorder="1" applyAlignment="1">
      <alignment vertical="center"/>
    </xf>
    <xf numFmtId="0" fontId="4" fillId="2" borderId="1" xfId="0" applyFont="1" applyFill="1" applyBorder="1"/>
    <xf numFmtId="0" fontId="4" fillId="2" borderId="2" xfId="0" applyFont="1" applyFill="1" applyBorder="1"/>
    <xf numFmtId="0" fontId="7" fillId="0" borderId="0" xfId="0" applyFont="1"/>
    <xf numFmtId="0" fontId="7" fillId="0" borderId="1" xfId="0" applyFont="1" applyBorder="1"/>
    <xf numFmtId="0" fontId="8" fillId="0" borderId="1" xfId="0" applyFont="1" applyBorder="1"/>
    <xf numFmtId="164" fontId="7" fillId="0" borderId="1" xfId="0" applyNumberFormat="1" applyFont="1" applyBorder="1"/>
    <xf numFmtId="165" fontId="7" fillId="0" borderId="1" xfId="0" applyNumberFormat="1" applyFont="1" applyBorder="1"/>
    <xf numFmtId="164" fontId="8" fillId="0" borderId="1" xfId="0" applyNumberFormat="1" applyFont="1" applyBorder="1"/>
    <xf numFmtId="165" fontId="8" fillId="0" borderId="1" xfId="0" applyNumberFormat="1" applyFont="1" applyBorder="1"/>
    <xf numFmtId="0" fontId="9" fillId="0" borderId="0" xfId="0" applyFont="1" applyAlignment="1">
      <alignment horizontal="left"/>
    </xf>
    <xf numFmtId="0" fontId="2" fillId="0" borderId="1" xfId="0" applyFont="1" applyBorder="1"/>
    <xf numFmtId="4" fontId="2" fillId="0" borderId="1" xfId="0" applyNumberFormat="1" applyFont="1" applyBorder="1"/>
    <xf numFmtId="4" fontId="3" fillId="0" borderId="1" xfId="0" applyNumberFormat="1" applyFont="1" applyBorder="1" applyAlignment="1">
      <alignment vertical="center"/>
    </xf>
    <xf numFmtId="0" fontId="2" fillId="6" borderId="1" xfId="0" applyFont="1" applyFill="1" applyBorder="1"/>
    <xf numFmtId="0" fontId="3" fillId="7" borderId="3" xfId="0" applyFont="1" applyFill="1" applyBorder="1" applyAlignment="1">
      <alignment vertical="center"/>
    </xf>
    <xf numFmtId="4" fontId="3" fillId="8" borderId="1" xfId="0" applyNumberFormat="1" applyFont="1" applyFill="1" applyBorder="1" applyAlignment="1">
      <alignment vertical="center"/>
    </xf>
    <xf numFmtId="0" fontId="6" fillId="0" borderId="0" xfId="0" applyFont="1"/>
    <xf numFmtId="166" fontId="1" fillId="0" borderId="0" xfId="0" applyNumberFormat="1" applyFont="1" applyAlignment="1">
      <alignment horizontal="left" vertical="center"/>
    </xf>
    <xf numFmtId="49" fontId="1" fillId="0" borderId="0" xfId="0" applyNumberFormat="1" applyFont="1" applyAlignment="1">
      <alignment horizontal="left" vertical="center"/>
    </xf>
    <xf numFmtId="0" fontId="6" fillId="9" borderId="0" xfId="0" applyFont="1" applyFill="1"/>
    <xf numFmtId="0" fontId="3" fillId="0" borderId="0" xfId="0" applyFont="1" applyAlignment="1">
      <alignment vertical="center"/>
    </xf>
    <xf numFmtId="166" fontId="3" fillId="0" borderId="0" xfId="0" applyNumberFormat="1" applyFont="1" applyAlignment="1">
      <alignment vertical="center"/>
    </xf>
    <xf numFmtId="46" fontId="3" fillId="0" borderId="0" xfId="0" applyNumberFormat="1" applyFont="1" applyAlignment="1">
      <alignment vertical="center"/>
    </xf>
    <xf numFmtId="166" fontId="6" fillId="0" borderId="0" xfId="0" applyNumberFormat="1" applyFont="1"/>
    <xf numFmtId="46" fontId="6" fillId="0" borderId="0" xfId="0" applyNumberFormat="1" applyFont="1"/>
    <xf numFmtId="0" fontId="6" fillId="10" borderId="0" xfId="0" applyFont="1" applyFill="1"/>
    <xf numFmtId="167" fontId="3" fillId="0" borderId="0" xfId="0" applyNumberFormat="1" applyFont="1" applyAlignment="1">
      <alignment vertical="center"/>
    </xf>
    <xf numFmtId="0" fontId="3" fillId="8" borderId="1" xfId="0" applyFont="1" applyFill="1" applyBorder="1" applyAlignment="1">
      <alignment vertical="center"/>
    </xf>
    <xf numFmtId="0" fontId="2" fillId="6" borderId="1" xfId="0" applyFont="1" applyFill="1" applyBorder="1" applyAlignment="1">
      <alignment wrapText="1"/>
    </xf>
    <xf numFmtId="0" fontId="10" fillId="11" borderId="0" xfId="0" applyFont="1" applyFill="1"/>
    <xf numFmtId="0" fontId="3" fillId="12" borderId="1" xfId="0" applyFont="1" applyFill="1" applyBorder="1" applyAlignment="1">
      <alignment vertical="center"/>
    </xf>
    <xf numFmtId="0" fontId="6" fillId="13" borderId="0" xfId="0" applyFont="1" applyFill="1"/>
    <xf numFmtId="0" fontId="6" fillId="13" borderId="0" xfId="0" applyFont="1" applyFill="1" applyAlignment="1">
      <alignment horizontal="center"/>
    </xf>
    <xf numFmtId="0" fontId="6" fillId="13" borderId="0" xfId="0" applyFont="1" applyFill="1" applyAlignment="1">
      <alignment horizontal="left"/>
    </xf>
    <xf numFmtId="0" fontId="6" fillId="0" borderId="0" xfId="0" applyFont="1" applyAlignment="1">
      <alignment horizontal="center"/>
    </xf>
    <xf numFmtId="0" fontId="12" fillId="0" borderId="0" xfId="0" applyFont="1" applyAlignment="1">
      <alignment horizontal="left"/>
    </xf>
    <xf numFmtId="0" fontId="2" fillId="0" borderId="1" xfId="0" applyFont="1" applyBorder="1" applyAlignment="1">
      <alignment horizontal="right"/>
    </xf>
    <xf numFmtId="0" fontId="6" fillId="13" borderId="1" xfId="0" applyFont="1" applyFill="1" applyBorder="1"/>
    <xf numFmtId="0" fontId="6" fillId="13" borderId="1" xfId="0" applyFont="1" applyFill="1" applyBorder="1" applyAlignment="1">
      <alignment horizontal="center"/>
    </xf>
    <xf numFmtId="0" fontId="4" fillId="6" borderId="2" xfId="0" applyFont="1" applyFill="1" applyBorder="1"/>
    <xf numFmtId="0" fontId="3" fillId="0" borderId="3" xfId="0" applyFont="1" applyBorder="1" applyAlignment="1">
      <alignment vertical="center"/>
    </xf>
    <xf numFmtId="0" fontId="3" fillId="14" borderId="1" xfId="0" applyFont="1" applyFill="1" applyBorder="1" applyAlignment="1">
      <alignment vertical="center"/>
    </xf>
    <xf numFmtId="0" fontId="3" fillId="7" borderId="5" xfId="0" applyFont="1" applyFill="1" applyBorder="1" applyAlignment="1">
      <alignment vertical="center"/>
    </xf>
    <xf numFmtId="0" fontId="3" fillId="7" borderId="4" xfId="0" applyFont="1" applyFill="1" applyBorder="1" applyAlignment="1">
      <alignment vertical="center"/>
    </xf>
    <xf numFmtId="0" fontId="3" fillId="7" borderId="1" xfId="0" applyFont="1" applyFill="1" applyBorder="1" applyAlignment="1">
      <alignment vertical="center"/>
    </xf>
    <xf numFmtId="0" fontId="6" fillId="0" borderId="1" xfId="0" applyFont="1" applyBorder="1" applyAlignment="1">
      <alignment horizontal="center"/>
    </xf>
    <xf numFmtId="0" fontId="6" fillId="0" borderId="1" xfId="0" applyFont="1" applyBorder="1"/>
    <xf numFmtId="0" fontId="13" fillId="0" borderId="1" xfId="0" applyFont="1" applyBorder="1"/>
    <xf numFmtId="0" fontId="6" fillId="0" borderId="1" xfId="0" applyFont="1" applyBorder="1" applyAlignment="1">
      <alignment wrapText="1"/>
    </xf>
    <xf numFmtId="0" fontId="13" fillId="0" borderId="1" xfId="0" applyFont="1" applyBorder="1" applyAlignment="1">
      <alignment vertical="top"/>
    </xf>
    <xf numFmtId="0" fontId="13" fillId="0" borderId="0" xfId="0" applyFont="1"/>
    <xf numFmtId="0" fontId="14" fillId="0" borderId="1" xfId="0" applyFont="1" applyBorder="1"/>
    <xf numFmtId="0" fontId="15" fillId="0" borderId="1" xfId="0" applyFont="1" applyBorder="1" applyAlignment="1">
      <alignment wrapText="1"/>
    </xf>
    <xf numFmtId="0" fontId="5" fillId="3" borderId="3" xfId="0" applyFont="1" applyFill="1" applyBorder="1" applyAlignment="1">
      <alignment horizontal="center"/>
    </xf>
    <xf numFmtId="0" fontId="6" fillId="0" borderId="4" xfId="0" applyFont="1" applyBorder="1"/>
    <xf numFmtId="0" fontId="5" fillId="2" borderId="0" xfId="0" applyFont="1" applyFill="1" applyAlignment="1">
      <alignment horizontal="center"/>
    </xf>
    <xf numFmtId="0" fontId="0" fillId="0" borderId="0" xfId="0"/>
    <xf numFmtId="0" fontId="5" fillId="4" borderId="0" xfId="0" applyFont="1" applyFill="1" applyAlignment="1">
      <alignment horizontal="center"/>
    </xf>
    <xf numFmtId="0" fontId="7" fillId="0" borderId="3" xfId="0" applyFont="1" applyBorder="1"/>
    <xf numFmtId="0" fontId="5" fillId="5" borderId="3" xfId="0" applyFont="1" applyFill="1" applyBorder="1" applyAlignment="1">
      <alignment horizontal="center"/>
    </xf>
    <xf numFmtId="164" fontId="7" fillId="0" borderId="3" xfId="0" applyNumberFormat="1" applyFont="1" applyBorder="1"/>
    <xf numFmtId="0" fontId="6" fillId="13" borderId="0" xfId="0" applyFont="1" applyFill="1" applyAlignment="1">
      <alignment horizontal="center"/>
    </xf>
    <xf numFmtId="0" fontId="6" fillId="13" borderId="0" xfId="0" applyFont="1" applyFill="1"/>
    <xf numFmtId="0" fontId="11" fillId="13" borderId="0" xfId="0" applyFont="1" applyFill="1" applyAlignment="1">
      <alignment horizontal="center"/>
    </xf>
    <xf numFmtId="0" fontId="18" fillId="0" borderId="3" xfId="1" applyBorder="1" applyAlignment="1">
      <alignment vertical="center"/>
    </xf>
    <xf numFmtId="0" fontId="11" fillId="0" borderId="6" xfId="0" quotePrefix="1" applyFont="1" applyBorder="1"/>
    <xf numFmtId="0" fontId="0" fillId="0" borderId="6" xfId="0" applyBorder="1"/>
  </cellXfs>
  <cellStyles count="2">
    <cellStyle name="Hyperlink" xfId="1" builtinId="8"/>
    <cellStyle name="Normal" xfId="0" builtinId="0"/>
  </cellStyles>
  <dxfs count="71">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DD9D4"/>
          <bgColor rgb="FFCD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5">
    <tableStyle name="Members-style" pivot="0" count="4" xr9:uid="{00000000-0011-0000-FFFF-FFFF00000000}">
      <tableStyleElement type="wholeTable" size="0" dxfId="67"/>
      <tableStyleElement type="headerRow" dxfId="70"/>
      <tableStyleElement type="firstRowStripe" dxfId="69"/>
      <tableStyleElement type="secondRowStripe" dxfId="68"/>
    </tableStyle>
    <tableStyle name="Contributions-style" pivot="0" count="4" xr9:uid="{00000000-0011-0000-FFFF-FFFF01000000}">
      <tableStyleElement type="wholeTable" size="0" dxfId="63"/>
      <tableStyleElement type="headerRow" dxfId="66"/>
      <tableStyleElement type="firstRowStripe" dxfId="65"/>
      <tableStyleElement type="secondRowStripe" dxfId="64"/>
    </tableStyle>
    <tableStyle name="Loans-style" pivot="0" count="4" xr9:uid="{00000000-0011-0000-FFFF-FFFF02000000}">
      <tableStyleElement type="wholeTable" size="0" dxfId="59"/>
      <tableStyleElement type="headerRow" dxfId="62"/>
      <tableStyleElement type="firstRowStripe" dxfId="61"/>
      <tableStyleElement type="secondRowStripe" dxfId="60"/>
    </tableStyle>
    <tableStyle name="Donations-style" pivot="0" count="4" xr9:uid="{00000000-0011-0000-FFFF-FFFF03000000}">
      <tableStyleElement type="wholeTable" size="0" dxfId="55"/>
      <tableStyleElement type="headerRow" dxfId="58"/>
      <tableStyleElement type="firstRowStripe" dxfId="57"/>
      <tableStyleElement type="secondRowStripe" dxfId="56"/>
    </tableStyle>
    <tableStyle name="2026-style" pivot="0" count="4" xr9:uid="{00000000-0011-0000-FFFF-FFFF04000000}">
      <tableStyleElement type="wholeTable" size="0" dxfId="51"/>
      <tableStyleElement type="headerRow" dxfId="54"/>
      <tableStyleElement type="firstRowStripe" dxfId="53"/>
      <tableStyleElement type="secondRowStripe" dxfId="52"/>
    </tableStyle>
    <tableStyle name="2025-style" pivot="0" count="5" xr9:uid="{00000000-0011-0000-FFFF-FFFF05000000}">
      <tableStyleElement type="wholeTable" size="0" dxfId="46"/>
      <tableStyleElement type="headerRow" dxfId="50"/>
      <tableStyleElement type="totalRow" dxfId="47"/>
      <tableStyleElement type="firstRowStripe" dxfId="49"/>
      <tableStyleElement type="secondRowStripe" dxfId="48"/>
    </tableStyle>
    <tableStyle name="2024-style" pivot="0" count="5" xr9:uid="{00000000-0011-0000-FFFF-FFFF06000000}">
      <tableStyleElement type="wholeTable" size="0" dxfId="41"/>
      <tableStyleElement type="headerRow" dxfId="45"/>
      <tableStyleElement type="totalRow" dxfId="42"/>
      <tableStyleElement type="firstRowStripe" dxfId="44"/>
      <tableStyleElement type="secondRowStripe" dxfId="43"/>
    </tableStyle>
    <tableStyle name="2023-style" pivot="0" count="5" xr9:uid="{00000000-0011-0000-FFFF-FFFF07000000}">
      <tableStyleElement type="wholeTable" size="0" dxfId="36"/>
      <tableStyleElement type="headerRow" dxfId="40"/>
      <tableStyleElement type="totalRow" dxfId="37"/>
      <tableStyleElement type="firstRowStripe" dxfId="39"/>
      <tableStyleElement type="secondRowStripe" dxfId="38"/>
    </tableStyle>
    <tableStyle name="2022-style" pivot="0" count="5" xr9:uid="{00000000-0011-0000-FFFF-FFFF08000000}">
      <tableStyleElement type="wholeTable" size="0" dxfId="31"/>
      <tableStyleElement type="headerRow" dxfId="35"/>
      <tableStyleElement type="totalRow" dxfId="32"/>
      <tableStyleElement type="firstRowStripe" dxfId="34"/>
      <tableStyleElement type="secondRowStripe" dxfId="33"/>
    </tableStyle>
    <tableStyle name="2021-style" pivot="0" count="5" xr9:uid="{00000000-0011-0000-FFFF-FFFF09000000}">
      <tableStyleElement type="wholeTable" size="0" dxfId="26"/>
      <tableStyleElement type="headerRow" dxfId="30"/>
      <tableStyleElement type="totalRow" dxfId="27"/>
      <tableStyleElement type="firstRowStripe" dxfId="29"/>
      <tableStyleElement type="secondRowStripe" dxfId="28"/>
    </tableStyle>
    <tableStyle name="2020-style" pivot="0" count="5" xr9:uid="{00000000-0011-0000-FFFF-FFFF0A000000}">
      <tableStyleElement type="wholeTable" size="0" dxfId="21"/>
      <tableStyleElement type="headerRow" dxfId="25"/>
      <tableStyleElement type="totalRow" dxfId="22"/>
      <tableStyleElement type="firstRowStripe" dxfId="24"/>
      <tableStyleElement type="secondRowStripe" dxfId="23"/>
    </tableStyle>
    <tableStyle name="2019-style" pivot="0" count="5" xr9:uid="{00000000-0011-0000-FFFF-FFFF0B000000}">
      <tableStyleElement type="wholeTable" size="0" dxfId="16"/>
      <tableStyleElement type="headerRow" dxfId="20"/>
      <tableStyleElement type="totalRow" dxfId="17"/>
      <tableStyleElement type="firstRowStripe" dxfId="19"/>
      <tableStyleElement type="secondRowStripe" dxfId="18"/>
    </tableStyle>
    <tableStyle name="2018-style" pivot="0" count="5" xr9:uid="{00000000-0011-0000-FFFF-FFFF0C000000}">
      <tableStyleElement type="wholeTable" size="0" dxfId="11"/>
      <tableStyleElement type="headerRow" dxfId="15"/>
      <tableStyleElement type="totalRow" dxfId="12"/>
      <tableStyleElement type="firstRowStripe" dxfId="14"/>
      <tableStyleElement type="secondRowStripe" dxfId="13"/>
    </tableStyle>
    <tableStyle name="2017-style" pivot="0" count="5" xr9:uid="{00000000-0011-0000-FFFF-FFFF0D000000}">
      <tableStyleElement type="wholeTable" size="0" dxfId="6"/>
      <tableStyleElement type="headerRow" dxfId="10"/>
      <tableStyleElement type="totalRow" dxfId="7"/>
      <tableStyleElement type="firstRowStripe" dxfId="9"/>
      <tableStyleElement type="secondRowStripe" dxfId="8"/>
    </tableStyle>
    <tableStyle name="2016-style" pivot="0" count="5" xr9:uid="{00000000-0011-0000-FFFF-FFFF0E000000}">
      <tableStyleElement type="wholeTable" size="0" dxfId="1"/>
      <tableStyleElement type="headerRow" dxfId="5"/>
      <tableStyleElement type="totalRow" dxfId="2"/>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Paramesh Korrakuti" id="{7415CB5A-5785-4BDF-BB02-C702A804E7F7}"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C23">
  <autoFilter ref="A1:C23" xr:uid="{00000000-0009-0000-0100-000001000000}"/>
  <tableColumns count="3">
    <tableColumn id="1" xr3:uid="{00000000-0010-0000-0000-000001000000}" name="Member Name"/>
    <tableColumn id="2" xr3:uid="{00000000-0010-0000-0000-000002000000}" name="Email Id"/>
    <tableColumn id="3" xr3:uid="{A7B6DA95-0B87-6743-8B22-09D959895F55}" name="Phone Number" dataDxfId="0"/>
  </tableColumns>
  <tableStyleInfo name="Member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M25">
  <tableColumns count="13">
    <tableColumn id="1" xr3:uid="{00000000-0010-0000-0100-000001000000}" name="Name"/>
    <tableColumn id="2" xr3:uid="{00000000-0010-0000-0100-000002000000}" name="Total"/>
    <tableColumn id="3" xr3:uid="{00000000-0010-0000-0100-000003000000}" name="2016"/>
    <tableColumn id="4" xr3:uid="{00000000-0010-0000-0100-000004000000}" name="2017"/>
    <tableColumn id="5" xr3:uid="{00000000-0010-0000-0100-000005000000}" name="2018"/>
    <tableColumn id="6" xr3:uid="{00000000-0010-0000-0100-000006000000}" name="2019"/>
    <tableColumn id="7" xr3:uid="{00000000-0010-0000-0100-000007000000}" name="2020"/>
    <tableColumn id="8" xr3:uid="{00000000-0010-0000-0100-000008000000}" name="2021"/>
    <tableColumn id="9" xr3:uid="{00000000-0010-0000-0100-000009000000}" name="2022"/>
    <tableColumn id="10" xr3:uid="{00000000-0010-0000-0100-00000A000000}" name="2023"/>
    <tableColumn id="11" xr3:uid="{00000000-0010-0000-0100-00000B000000}" name="2024"/>
    <tableColumn id="12" xr3:uid="{00000000-0010-0000-0100-00000C000000}" name="2025"/>
    <tableColumn id="13" xr3:uid="{00000000-0010-0000-0100-00000D000000}" name="2026"/>
  </tableColumns>
  <tableStyleInfo name="Contribution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oans" displayName="Loans" ref="A1:O84">
  <tableColumns count="15">
    <tableColumn id="1" xr3:uid="{00000000-0010-0000-0200-000001000000}" name="SNO"/>
    <tableColumn id="2" xr3:uid="{00000000-0010-0000-0200-000002000000}" name="Name"/>
    <tableColumn id="3" xr3:uid="{00000000-0010-0000-0200-000003000000}" name="Amount"/>
    <tableColumn id="4" xr3:uid="{00000000-0010-0000-0200-000004000000}" name="Loan Type"/>
    <tableColumn id="5" xr3:uid="{00000000-0010-0000-0200-000005000000}" name="Start Date"/>
    <tableColumn id="6" xr3:uid="{00000000-0010-0000-0200-000006000000}" name="End Date"/>
    <tableColumn id="7" xr3:uid="{00000000-0010-0000-0200-000007000000}" name="Duration"/>
    <tableColumn id="8" xr3:uid="{00000000-0010-0000-0200-000008000000}" name="Status"/>
    <tableColumn id="9" xr3:uid="{00000000-0010-0000-0200-000009000000}" name="Interest Payable"/>
    <tableColumn id="10" xr3:uid="{00000000-0010-0000-0200-00000A000000}" name="Interest Paid"/>
    <tableColumn id="11" xr3:uid="{00000000-0010-0000-0200-00000B000000}" name="Interest Due"/>
    <tableColumn id="12" xr3:uid="{00000000-0010-0000-0200-00000C000000}" name="Principal Paid"/>
    <tableColumn id="13" xr3:uid="{00000000-0010-0000-0200-00000D000000}" name="Balance"/>
    <tableColumn id="14" xr3:uid="{00000000-0010-0000-0200-00000E000000}" name="Bad Debt"/>
    <tableColumn id="15" xr3:uid="{00000000-0010-0000-0200-00000F000000}" name="Remarks"/>
  </tableColumns>
  <tableStyleInfo name="Loan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onations" displayName="Donations" ref="A1:F10">
  <tableColumns count="6">
    <tableColumn id="1" xr3:uid="{00000000-0010-0000-0300-000001000000}" name="SNO"/>
    <tableColumn id="2" xr3:uid="{00000000-0010-0000-0300-000002000000}" name="Victim Name"/>
    <tableColumn id="3" xr3:uid="{00000000-0010-0000-0300-000003000000}" name="Referred By"/>
    <tableColumn id="4" xr3:uid="{00000000-0010-0000-0300-000004000000}" name="Date"/>
    <tableColumn id="5" xr3:uid="{00000000-0010-0000-0300-000005000000}" name="Amount"/>
    <tableColumn id="6" xr3:uid="{00000000-0010-0000-0300-000006000000}" name="Remarks"/>
  </tableColumns>
  <tableStyleInfo name="Donation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ntributions_2026" displayName="Contributions_2026" ref="A1:N26">
  <tableColumns count="14">
    <tableColumn id="1" xr3:uid="{00000000-0010-0000-0400-000001000000}" name="Name"/>
    <tableColumn id="2" xr3:uid="{00000000-0010-0000-0400-000002000000}" name="Jan"/>
    <tableColumn id="3" xr3:uid="{00000000-0010-0000-0400-000003000000}" name="Feb"/>
    <tableColumn id="4" xr3:uid="{00000000-0010-0000-0400-000004000000}" name="Mar"/>
    <tableColumn id="5" xr3:uid="{00000000-0010-0000-0400-000005000000}" name="Apr"/>
    <tableColumn id="6" xr3:uid="{00000000-0010-0000-0400-000006000000}" name="May"/>
    <tableColumn id="7" xr3:uid="{00000000-0010-0000-0400-000007000000}" name="Jun"/>
    <tableColumn id="8" xr3:uid="{00000000-0010-0000-0400-000008000000}" name="July"/>
    <tableColumn id="9" xr3:uid="{00000000-0010-0000-0400-000009000000}" name="Aug"/>
    <tableColumn id="10" xr3:uid="{00000000-0010-0000-0400-00000A000000}" name="Sep"/>
    <tableColumn id="11" xr3:uid="{00000000-0010-0000-0400-00000B000000}" name="Oct"/>
    <tableColumn id="12" xr3:uid="{00000000-0010-0000-0400-00000C000000}" name="Nov"/>
    <tableColumn id="13" xr3:uid="{00000000-0010-0000-0400-00000D000000}" name="Dec"/>
    <tableColumn id="14" xr3:uid="{00000000-0010-0000-0400-00000E000000}" name="Total"/>
  </tableColumns>
  <tableStyleInfo name="2026-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ntributions_2025" displayName="Contributions_2025" ref="A1:N25" totalsRowCount="1">
  <tableColumns count="14">
    <tableColumn id="1" xr3:uid="{00000000-0010-0000-0500-000001000000}" name="Name" totalsRowLabel="Total"/>
    <tableColumn id="2" xr3:uid="{00000000-0010-0000-0500-000002000000}" name="Jan" totalsRowFunction="custom">
      <totalsRowFormula>SUM(B2:B24)</totalsRowFormula>
    </tableColumn>
    <tableColumn id="3" xr3:uid="{00000000-0010-0000-0500-000003000000}" name="Feb" totalsRowFunction="custom">
      <totalsRowFormula>SUM(C2:C24)</totalsRowFormula>
    </tableColumn>
    <tableColumn id="4" xr3:uid="{00000000-0010-0000-0500-000004000000}" name="Mar" totalsRowFunction="custom">
      <totalsRowFormula>SUM(D2:D24)</totalsRowFormula>
    </tableColumn>
    <tableColumn id="5" xr3:uid="{00000000-0010-0000-0500-000005000000}" name="Apr" totalsRowFunction="custom">
      <totalsRowFormula>SUM(E2:E24)</totalsRowFormula>
    </tableColumn>
    <tableColumn id="6" xr3:uid="{00000000-0010-0000-0500-000006000000}" name="May" totalsRowFunction="custom">
      <totalsRowFormula>SUM(F2:F24)</totalsRowFormula>
    </tableColumn>
    <tableColumn id="7" xr3:uid="{00000000-0010-0000-0500-000007000000}" name="Jun" totalsRowFunction="custom">
      <totalsRowFormula>SUM(G2:G24)</totalsRowFormula>
    </tableColumn>
    <tableColumn id="8" xr3:uid="{00000000-0010-0000-0500-000008000000}" name="July" totalsRowFunction="custom">
      <totalsRowFormula>SUM(H1:H24)</totalsRowFormula>
    </tableColumn>
    <tableColumn id="9" xr3:uid="{00000000-0010-0000-0500-000009000000}" name="Aug" totalsRowFunction="custom">
      <totalsRowFormula>SUM(I1:I24)</totalsRowFormula>
    </tableColumn>
    <tableColumn id="10" xr3:uid="{00000000-0010-0000-0500-00000A000000}" name="Sep" totalsRowFunction="custom">
      <totalsRowFormula>SUM(J1:J24)</totalsRowFormula>
    </tableColumn>
    <tableColumn id="11" xr3:uid="{00000000-0010-0000-0500-00000B000000}" name="Oct" totalsRowFunction="custom">
      <totalsRowFormula>SUM(K1:K24)</totalsRowFormula>
    </tableColumn>
    <tableColumn id="12" xr3:uid="{00000000-0010-0000-0500-00000C000000}" name="Nov" totalsRowFunction="custom">
      <totalsRowFormula>SUM(L2:L24)</totalsRowFormula>
    </tableColumn>
    <tableColumn id="13" xr3:uid="{00000000-0010-0000-0500-00000D000000}" name="Dec" totalsRowFunction="custom">
      <totalsRowFormula>SUM(M2:M24)</totalsRowFormula>
    </tableColumn>
    <tableColumn id="14" xr3:uid="{00000000-0010-0000-0500-00000E000000}" name="Total" totalsRowFunction="custom">
      <totalsRowFormula>SUM(N2:N24)</totalsRowFormula>
    </tableColumn>
  </tableColumns>
  <tableStyleInfo name="2025-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ntributions_2024" displayName="Contributions_2024" ref="A1:N25" totalsRowCount="1">
  <tableColumns count="14">
    <tableColumn id="1" xr3:uid="{00000000-0010-0000-0600-000001000000}" name="Name" totalsRowLabel="Total"/>
    <tableColumn id="2" xr3:uid="{00000000-0010-0000-0600-000002000000}" name="Jan" totalsRowFunction="custom">
      <totalsRowFormula>SUM(B2:B24)</totalsRowFormula>
    </tableColumn>
    <tableColumn id="3" xr3:uid="{00000000-0010-0000-0600-000003000000}" name="Feb" totalsRowFunction="custom">
      <totalsRowFormula>SUM(C2:C24)</totalsRowFormula>
    </tableColumn>
    <tableColumn id="4" xr3:uid="{00000000-0010-0000-0600-000004000000}" name="Mar" totalsRowFunction="custom">
      <totalsRowFormula>SUM(D2:D24)</totalsRowFormula>
    </tableColumn>
    <tableColumn id="5" xr3:uid="{00000000-0010-0000-0600-000005000000}" name="Apr" totalsRowFunction="custom">
      <totalsRowFormula>SUM(E2:E24)</totalsRowFormula>
    </tableColumn>
    <tableColumn id="6" xr3:uid="{00000000-0010-0000-0600-000006000000}" name="May" totalsRowFunction="custom">
      <totalsRowFormula>SUM(F2:F24)</totalsRowFormula>
    </tableColumn>
    <tableColumn id="7" xr3:uid="{00000000-0010-0000-0600-000007000000}" name="Jun" totalsRowFunction="custom">
      <totalsRowFormula>SUM(G2:G24)</totalsRowFormula>
    </tableColumn>
    <tableColumn id="8" xr3:uid="{00000000-0010-0000-0600-000008000000}" name="July" totalsRowFunction="custom">
      <totalsRowFormula>SUM(H1:H24)</totalsRowFormula>
    </tableColumn>
    <tableColumn id="9" xr3:uid="{00000000-0010-0000-0600-000009000000}" name="Aug" totalsRowFunction="custom">
      <totalsRowFormula>SUM(I1:I24)</totalsRowFormula>
    </tableColumn>
    <tableColumn id="10" xr3:uid="{00000000-0010-0000-0600-00000A000000}" name="Sep" totalsRowFunction="custom">
      <totalsRowFormula>SUM(J1:J24)</totalsRowFormula>
    </tableColumn>
    <tableColumn id="11" xr3:uid="{00000000-0010-0000-0600-00000B000000}" name="Oct" totalsRowFunction="custom">
      <totalsRowFormula>SUM(K1:K24)</totalsRowFormula>
    </tableColumn>
    <tableColumn id="12" xr3:uid="{00000000-0010-0000-0600-00000C000000}" name="Nov" totalsRowFunction="custom">
      <totalsRowFormula>SUM(L2:L24)</totalsRowFormula>
    </tableColumn>
    <tableColumn id="13" xr3:uid="{00000000-0010-0000-0600-00000D000000}" name="Dec" totalsRowFunction="custom">
      <totalsRowFormula>SUM(M2:M24)</totalsRowFormula>
    </tableColumn>
    <tableColumn id="14" xr3:uid="{00000000-0010-0000-0600-00000E000000}" name="Total" totalsRowFunction="custom">
      <totalsRowFormula>SUM(N2:N24)</totalsRowFormula>
    </tableColumn>
  </tableColumns>
  <tableStyleInfo name="2024-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ntributions_2023" displayName="Contributions_2023" ref="A1:N26" totalsRowCount="1">
  <tableColumns count="14">
    <tableColumn id="1" xr3:uid="{00000000-0010-0000-0700-000001000000}" name="Name" totalsRowLabel="Total"/>
    <tableColumn id="2" xr3:uid="{00000000-0010-0000-0700-000002000000}" name="Jan" totalsRowFunction="custom">
      <totalsRowFormula>SUM(B2:B25)</totalsRowFormula>
    </tableColumn>
    <tableColumn id="3" xr3:uid="{00000000-0010-0000-0700-000003000000}" name="Feb" totalsRowFunction="custom">
      <totalsRowFormula>SUM(C2:C25)</totalsRowFormula>
    </tableColumn>
    <tableColumn id="4" xr3:uid="{00000000-0010-0000-0700-000004000000}" name="Mar" totalsRowFunction="custom">
      <totalsRowFormula>SUM(D2:D25)</totalsRowFormula>
    </tableColumn>
    <tableColumn id="5" xr3:uid="{00000000-0010-0000-0700-000005000000}" name="Apr" totalsRowFunction="custom">
      <totalsRowFormula>SUM(E2:E25)</totalsRowFormula>
    </tableColumn>
    <tableColumn id="6" xr3:uid="{00000000-0010-0000-0700-000006000000}" name="May" totalsRowFunction="custom">
      <totalsRowFormula>SUM(F2:F25)</totalsRowFormula>
    </tableColumn>
    <tableColumn id="7" xr3:uid="{00000000-0010-0000-0700-000007000000}" name="Jun" totalsRowFunction="custom">
      <totalsRowFormula>SUM(G2:G25)</totalsRowFormula>
    </tableColumn>
    <tableColumn id="8" xr3:uid="{00000000-0010-0000-0700-000008000000}" name="July" totalsRowFunction="custom">
      <totalsRowFormula>SUM(H1:H25)</totalsRowFormula>
    </tableColumn>
    <tableColumn id="9" xr3:uid="{00000000-0010-0000-0700-000009000000}" name="Aug" totalsRowFunction="custom">
      <totalsRowFormula>SUM(I1:I25)</totalsRowFormula>
    </tableColumn>
    <tableColumn id="10" xr3:uid="{00000000-0010-0000-0700-00000A000000}" name="Sep" totalsRowFunction="custom">
      <totalsRowFormula>SUM(J1:J25)</totalsRowFormula>
    </tableColumn>
    <tableColumn id="11" xr3:uid="{00000000-0010-0000-0700-00000B000000}" name="Oct" totalsRowFunction="custom">
      <totalsRowFormula>SUM(K1:K25)</totalsRowFormula>
    </tableColumn>
    <tableColumn id="12" xr3:uid="{00000000-0010-0000-0700-00000C000000}" name="Nov" totalsRowFunction="custom">
      <totalsRowFormula>SUM(L1:L25)</totalsRowFormula>
    </tableColumn>
    <tableColumn id="13" xr3:uid="{00000000-0010-0000-0700-00000D000000}" name="Dec" totalsRowFunction="custom">
      <totalsRowFormula>SUM(M1:M25)</totalsRowFormula>
    </tableColumn>
    <tableColumn id="14" xr3:uid="{00000000-0010-0000-0700-00000E000000}" name="Total" totalsRowFunction="custom">
      <totalsRowFormula>SUM(N2:N25)</totalsRowFormula>
    </tableColumn>
  </tableColumns>
  <tableStyleInfo name="2023-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ntributions_2022" displayName="Contributions_2022" ref="A1:N25" totalsRowCount="1">
  <tableColumns count="14">
    <tableColumn id="1" xr3:uid="{00000000-0010-0000-0800-000001000000}" name="Name" totalsRowLabel="Total"/>
    <tableColumn id="2" xr3:uid="{00000000-0010-0000-0800-000002000000}" name="Jan" totalsRowFunction="custom">
      <totalsRowFormula>SUM(B2:B24)</totalsRowFormula>
    </tableColumn>
    <tableColumn id="3" xr3:uid="{00000000-0010-0000-0800-000003000000}" name="Feb" totalsRowFunction="custom">
      <totalsRowFormula>SUM(C2:C24)</totalsRowFormula>
    </tableColumn>
    <tableColumn id="4" xr3:uid="{00000000-0010-0000-0800-000004000000}" name="Mar" totalsRowFunction="custom">
      <totalsRowFormula>SUM(D2:D24)</totalsRowFormula>
    </tableColumn>
    <tableColumn id="5" xr3:uid="{00000000-0010-0000-0800-000005000000}" name="Apr" totalsRowFunction="custom">
      <totalsRowFormula>SUM(E2:E24)</totalsRowFormula>
    </tableColumn>
    <tableColumn id="6" xr3:uid="{00000000-0010-0000-0800-000006000000}" name="May" totalsRowFunction="custom">
      <totalsRowFormula>SUM(F2:F24)</totalsRowFormula>
    </tableColumn>
    <tableColumn id="7" xr3:uid="{00000000-0010-0000-0800-000007000000}" name="Jun" totalsRowFunction="custom">
      <totalsRowFormula>SUM(G2:G24)</totalsRowFormula>
    </tableColumn>
    <tableColumn id="8" xr3:uid="{00000000-0010-0000-0800-000008000000}" name="July" totalsRowFunction="custom">
      <totalsRowFormula>SUM(H1:H24)</totalsRowFormula>
    </tableColumn>
    <tableColumn id="9" xr3:uid="{00000000-0010-0000-0800-000009000000}" name="Aug"/>
    <tableColumn id="10" xr3:uid="{00000000-0010-0000-0800-00000A000000}" name="Sep"/>
    <tableColumn id="11" xr3:uid="{00000000-0010-0000-0800-00000B000000}" name="Oct"/>
    <tableColumn id="12" xr3:uid="{00000000-0010-0000-0800-00000C000000}" name="Nov"/>
    <tableColumn id="13" xr3:uid="{00000000-0010-0000-0800-00000D000000}" name="Dec"/>
    <tableColumn id="14" xr3:uid="{00000000-0010-0000-0800-00000E000000}" name="Total" totalsRowFunction="custom">
      <totalsRowFormula>SUM(N2:N24)</totalsRowFormula>
    </tableColumn>
  </tableColumns>
  <tableStyleInfo name="2022-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ontributions_2021" displayName="Contributions_2021" ref="A1:N25" totalsRowCount="1">
  <tableColumns count="14">
    <tableColumn id="1" xr3:uid="{00000000-0010-0000-0900-000001000000}" name="Name" totalsRowLabel="Total"/>
    <tableColumn id="2" xr3:uid="{00000000-0010-0000-0900-000002000000}" name="Jan" totalsRowFunction="custom">
      <totalsRowFormula>SUM(B2:B24)</totalsRowFormula>
    </tableColumn>
    <tableColumn id="3" xr3:uid="{00000000-0010-0000-0900-000003000000}" name="Feb" totalsRowFunction="custom">
      <totalsRowFormula>SUM(C2:C24)</totalsRowFormula>
    </tableColumn>
    <tableColumn id="4" xr3:uid="{00000000-0010-0000-0900-000004000000}" name="Mar" totalsRowFunction="custom">
      <totalsRowFormula>SUM(D2:D24)</totalsRowFormula>
    </tableColumn>
    <tableColumn id="5" xr3:uid="{00000000-0010-0000-0900-000005000000}" name="Apr" totalsRowFunction="custom">
      <totalsRowFormula>SUM(E2:E24)</totalsRowFormula>
    </tableColumn>
    <tableColumn id="6" xr3:uid="{00000000-0010-0000-0900-000006000000}" name="May" totalsRowFunction="custom">
      <totalsRowFormula>SUM(F2:F24)</totalsRowFormula>
    </tableColumn>
    <tableColumn id="7" xr3:uid="{00000000-0010-0000-0900-000007000000}" name="Jun" totalsRowFunction="custom">
      <totalsRowFormula>SUM(G2:G24)</totalsRowFormula>
    </tableColumn>
    <tableColumn id="8" xr3:uid="{00000000-0010-0000-0900-000008000000}" name="July" totalsRowFunction="custom">
      <totalsRowFormula>SUM(H2:H24)</totalsRowFormula>
    </tableColumn>
    <tableColumn id="9" xr3:uid="{00000000-0010-0000-0900-000009000000}" name="Aug" totalsRowFunction="custom">
      <totalsRowFormula>SUM(I2:I24)</totalsRowFormula>
    </tableColumn>
    <tableColumn id="10" xr3:uid="{00000000-0010-0000-0900-00000A000000}" name="Sep" totalsRowFunction="custom">
      <totalsRowFormula>SUM(J2:J24)</totalsRowFormula>
    </tableColumn>
    <tableColumn id="11" xr3:uid="{00000000-0010-0000-0900-00000B000000}" name="Oct" totalsRowFunction="custom">
      <totalsRowFormula>SUM(K2:K24)</totalsRowFormula>
    </tableColumn>
    <tableColumn id="12" xr3:uid="{00000000-0010-0000-0900-00000C000000}" name="Nov" totalsRowFunction="custom">
      <totalsRowFormula>SUM(L2:L24)</totalsRowFormula>
    </tableColumn>
    <tableColumn id="13" xr3:uid="{00000000-0010-0000-0900-00000D000000}" name="Dec" totalsRowFunction="custom">
      <totalsRowFormula>SUM(M2:M24)</totalsRowFormula>
    </tableColumn>
    <tableColumn id="14" xr3:uid="{00000000-0010-0000-0900-00000E000000}" name="Total" totalsRowFunction="custom">
      <totalsRowFormula>SUM(N2:N24)</totalsRowFormula>
    </tableColumn>
  </tableColumns>
  <tableStyleInfo name="2021-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Contributions_2020" displayName="Contributions_2020" ref="A1:N25" totalsRowCount="1">
  <tableColumns count="14">
    <tableColumn id="1" xr3:uid="{00000000-0010-0000-0A00-000001000000}" name="Name" totalsRowLabel="Total"/>
    <tableColumn id="2" xr3:uid="{00000000-0010-0000-0A00-000002000000}" name="Jan" totalsRowFunction="custom">
      <totalsRowFormula>SUM(B2:B24)</totalsRowFormula>
    </tableColumn>
    <tableColumn id="3" xr3:uid="{00000000-0010-0000-0A00-000003000000}" name="Feb" totalsRowFunction="custom">
      <totalsRowFormula>SUM(C2:C24)</totalsRowFormula>
    </tableColumn>
    <tableColumn id="4" xr3:uid="{00000000-0010-0000-0A00-000004000000}" name="Mar" totalsRowFunction="custom">
      <totalsRowFormula>SUM(D2:D24)</totalsRowFormula>
    </tableColumn>
    <tableColumn id="5" xr3:uid="{00000000-0010-0000-0A00-000005000000}" name="Apr" totalsRowFunction="custom">
      <totalsRowFormula>SUM(E2:E24)</totalsRowFormula>
    </tableColumn>
    <tableColumn id="6" xr3:uid="{00000000-0010-0000-0A00-000006000000}" name="May" totalsRowFunction="custom">
      <totalsRowFormula>SUM(F2:F24)</totalsRowFormula>
    </tableColumn>
    <tableColumn id="7" xr3:uid="{00000000-0010-0000-0A00-000007000000}" name="Jun" totalsRowFunction="custom">
      <totalsRowFormula>SUM(G2:G24)</totalsRowFormula>
    </tableColumn>
    <tableColumn id="8" xr3:uid="{00000000-0010-0000-0A00-000008000000}" name="July" totalsRowFunction="custom">
      <totalsRowFormula>SUM(H2:H24)</totalsRowFormula>
    </tableColumn>
    <tableColumn id="9" xr3:uid="{00000000-0010-0000-0A00-000009000000}" name="Aug" totalsRowFunction="custom">
      <totalsRowFormula>SUM(I2:I24)</totalsRowFormula>
    </tableColumn>
    <tableColumn id="10" xr3:uid="{00000000-0010-0000-0A00-00000A000000}" name="Sep" totalsRowFunction="custom">
      <totalsRowFormula>SUM(J2:J24)</totalsRowFormula>
    </tableColumn>
    <tableColumn id="11" xr3:uid="{00000000-0010-0000-0A00-00000B000000}" name="Oct" totalsRowFunction="custom">
      <totalsRowFormula>SUM(K2:K24)</totalsRowFormula>
    </tableColumn>
    <tableColumn id="12" xr3:uid="{00000000-0010-0000-0A00-00000C000000}" name="Nov" totalsRowFunction="custom">
      <totalsRowFormula>SUM(L2:L24)</totalsRowFormula>
    </tableColumn>
    <tableColumn id="13" xr3:uid="{00000000-0010-0000-0A00-00000D000000}" name="Dec" totalsRowFunction="custom">
      <totalsRowFormula>SUM(M2:M24)</totalsRowFormula>
    </tableColumn>
    <tableColumn id="14" xr3:uid="{00000000-0010-0000-0A00-00000E000000}" name="Total" totalsRowFunction="custom">
      <totalsRowFormula>SUM(N2:N24)</totalsRowFormula>
    </tableColumn>
  </tableColumns>
  <tableStyleInfo name="2020-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ontributions_2019" displayName="Contributions_2019" ref="A1:N25" totalsRowCount="1">
  <tableColumns count="14">
    <tableColumn id="1" xr3:uid="{00000000-0010-0000-0B00-000001000000}" name="Name" totalsRowLabel="Total"/>
    <tableColumn id="2" xr3:uid="{00000000-0010-0000-0B00-000002000000}" name="JAN" totalsRowFunction="custom">
      <totalsRowFormula>SUM(B2:B24)</totalsRowFormula>
    </tableColumn>
    <tableColumn id="3" xr3:uid="{00000000-0010-0000-0B00-000003000000}" name="FEB" totalsRowFunction="custom">
      <totalsRowFormula>SUM(C2:C24)</totalsRowFormula>
    </tableColumn>
    <tableColumn id="4" xr3:uid="{00000000-0010-0000-0B00-000004000000}" name="MAR" totalsRowFunction="custom">
      <totalsRowFormula>SUM(D2:D24)</totalsRowFormula>
    </tableColumn>
    <tableColumn id="5" xr3:uid="{00000000-0010-0000-0B00-000005000000}" name="APR" totalsRowFunction="custom">
      <totalsRowFormula>SUM(E2:E24)</totalsRowFormula>
    </tableColumn>
    <tableColumn id="6" xr3:uid="{00000000-0010-0000-0B00-000006000000}" name="MAY" totalsRowFunction="custom">
      <totalsRowFormula>SUM(F2:F24)</totalsRowFormula>
    </tableColumn>
    <tableColumn id="7" xr3:uid="{00000000-0010-0000-0B00-000007000000}" name="JUNE" totalsRowFunction="custom">
      <totalsRowFormula>SUM(G2:G24)</totalsRowFormula>
    </tableColumn>
    <tableColumn id="8" xr3:uid="{00000000-0010-0000-0B00-000008000000}" name="JULY" totalsRowFunction="custom">
      <totalsRowFormula>SUM(H2:H24)</totalsRowFormula>
    </tableColumn>
    <tableColumn id="9" xr3:uid="{00000000-0010-0000-0B00-000009000000}" name="AUG" totalsRowFunction="custom">
      <totalsRowFormula>SUM(I2:I24)</totalsRowFormula>
    </tableColumn>
    <tableColumn id="10" xr3:uid="{00000000-0010-0000-0B00-00000A000000}" name="SEP" totalsRowFunction="custom">
      <totalsRowFormula>SUM(J2:J24)</totalsRowFormula>
    </tableColumn>
    <tableColumn id="11" xr3:uid="{00000000-0010-0000-0B00-00000B000000}" name="OCT" totalsRowFunction="custom">
      <totalsRowFormula>SUM(K2:K24)</totalsRowFormula>
    </tableColumn>
    <tableColumn id="12" xr3:uid="{00000000-0010-0000-0B00-00000C000000}" name="NOV" totalsRowFunction="custom">
      <totalsRowFormula>SUM(L2:L24)</totalsRowFormula>
    </tableColumn>
    <tableColumn id="13" xr3:uid="{00000000-0010-0000-0B00-00000D000000}" name="DEC" totalsRowFunction="custom">
      <totalsRowFormula>SUM(M2:M24)</totalsRowFormula>
    </tableColumn>
    <tableColumn id="14" xr3:uid="{00000000-0010-0000-0B00-00000E000000}" name="Total" totalsRowFunction="custom">
      <totalsRowFormula>SUM(N2:N24)</totalsRowFormula>
    </tableColumn>
  </tableColumns>
  <tableStyleInfo name="2019-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Contributions_2018" displayName="Contributions_2018" ref="A1:N25" totalsRowCount="1">
  <tableColumns count="14">
    <tableColumn id="1" xr3:uid="{00000000-0010-0000-0C00-000001000000}" name="Name" totalsRowLabel="Total"/>
    <tableColumn id="2" xr3:uid="{00000000-0010-0000-0C00-000002000000}" name="JAN" totalsRowFunction="custom">
      <totalsRowFormula>SUM(B2:B24)</totalsRowFormula>
    </tableColumn>
    <tableColumn id="3" xr3:uid="{00000000-0010-0000-0C00-000003000000}" name="FEB" totalsRowFunction="custom">
      <totalsRowFormula>SUM(C2:C24)</totalsRowFormula>
    </tableColumn>
    <tableColumn id="4" xr3:uid="{00000000-0010-0000-0C00-000004000000}" name="MAR" totalsRowFunction="custom">
      <totalsRowFormula>SUM(D2:D24)</totalsRowFormula>
    </tableColumn>
    <tableColumn id="5" xr3:uid="{00000000-0010-0000-0C00-000005000000}" name="APR" totalsRowFunction="custom">
      <totalsRowFormula>SUM(E2:E24)</totalsRowFormula>
    </tableColumn>
    <tableColumn id="6" xr3:uid="{00000000-0010-0000-0C00-000006000000}" name="MAY" totalsRowFunction="custom">
      <totalsRowFormula>SUM(F2:F24)</totalsRowFormula>
    </tableColumn>
    <tableColumn id="7" xr3:uid="{00000000-0010-0000-0C00-000007000000}" name="JUNE" totalsRowFunction="custom">
      <totalsRowFormula>SUM(G2:G24)</totalsRowFormula>
    </tableColumn>
    <tableColumn id="8" xr3:uid="{00000000-0010-0000-0C00-000008000000}" name="JULY" totalsRowFunction="custom">
      <totalsRowFormula>SUM(H2:H24)</totalsRowFormula>
    </tableColumn>
    <tableColumn id="9" xr3:uid="{00000000-0010-0000-0C00-000009000000}" name="AUG" totalsRowFunction="custom">
      <totalsRowFormula>SUM(I2:I24)</totalsRowFormula>
    </tableColumn>
    <tableColumn id="10" xr3:uid="{00000000-0010-0000-0C00-00000A000000}" name="SEP" totalsRowFunction="custom">
      <totalsRowFormula>SUM(J2:J24)</totalsRowFormula>
    </tableColumn>
    <tableColumn id="11" xr3:uid="{00000000-0010-0000-0C00-00000B000000}" name="OCT" totalsRowFunction="custom">
      <totalsRowFormula>SUM(K2:K24)</totalsRowFormula>
    </tableColumn>
    <tableColumn id="12" xr3:uid="{00000000-0010-0000-0C00-00000C000000}" name="NOV" totalsRowFunction="custom">
      <totalsRowFormula>SUM(L2:L24)</totalsRowFormula>
    </tableColumn>
    <tableColumn id="13" xr3:uid="{00000000-0010-0000-0C00-00000D000000}" name="DEC" totalsRowFunction="custom">
      <totalsRowFormula>SUM(M2:M24)</totalsRowFormula>
    </tableColumn>
    <tableColumn id="14" xr3:uid="{00000000-0010-0000-0C00-00000E000000}" name="Total" totalsRowFunction="custom">
      <totalsRowFormula>SUM(N2:N24)</totalsRowFormula>
    </tableColumn>
  </tableColumns>
  <tableStyleInfo name="2018-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Contributions_2017" displayName="Contributions_2017" ref="A1:N25" totalsRowCount="1">
  <tableColumns count="14">
    <tableColumn id="1" xr3:uid="{00000000-0010-0000-0D00-000001000000}" name="Name" totalsRowLabel="Total"/>
    <tableColumn id="2" xr3:uid="{00000000-0010-0000-0D00-000002000000}" name="JAN" totalsRowFunction="custom">
      <totalsRowFormula>SUM(B2:B24)</totalsRowFormula>
    </tableColumn>
    <tableColumn id="3" xr3:uid="{00000000-0010-0000-0D00-000003000000}" name="FEB" totalsRowFunction="custom">
      <totalsRowFormula>SUM(C2:C24)</totalsRowFormula>
    </tableColumn>
    <tableColumn id="4" xr3:uid="{00000000-0010-0000-0D00-000004000000}" name="MAR" totalsRowFunction="custom">
      <totalsRowFormula>SUM(D2:D24)</totalsRowFormula>
    </tableColumn>
    <tableColumn id="5" xr3:uid="{00000000-0010-0000-0D00-000005000000}" name="APR" totalsRowFunction="custom">
      <totalsRowFormula>SUM(E2:E24)</totalsRowFormula>
    </tableColumn>
    <tableColumn id="6" xr3:uid="{00000000-0010-0000-0D00-000006000000}" name="MAY" totalsRowFunction="custom">
      <totalsRowFormula>SUM(F2:F24)</totalsRowFormula>
    </tableColumn>
    <tableColumn id="7" xr3:uid="{00000000-0010-0000-0D00-000007000000}" name="JUNE" totalsRowFunction="custom">
      <totalsRowFormula>SUM(G2:G24)</totalsRowFormula>
    </tableColumn>
    <tableColumn id="8" xr3:uid="{00000000-0010-0000-0D00-000008000000}" name="JULY" totalsRowFunction="custom">
      <totalsRowFormula>SUM(H2:H24)</totalsRowFormula>
    </tableColumn>
    <tableColumn id="9" xr3:uid="{00000000-0010-0000-0D00-000009000000}" name="AUG" totalsRowFunction="custom">
      <totalsRowFormula>SUM(I2:I24)</totalsRowFormula>
    </tableColumn>
    <tableColumn id="10" xr3:uid="{00000000-0010-0000-0D00-00000A000000}" name="SEP" totalsRowFunction="custom">
      <totalsRowFormula>SUM(J2:J24)</totalsRowFormula>
    </tableColumn>
    <tableColumn id="11" xr3:uid="{00000000-0010-0000-0D00-00000B000000}" name="OCT" totalsRowFunction="custom">
      <totalsRowFormula>SUM(K2:K24)</totalsRowFormula>
    </tableColumn>
    <tableColumn id="12" xr3:uid="{00000000-0010-0000-0D00-00000C000000}" name="NOV" totalsRowFunction="custom">
      <totalsRowFormula>SUM(L2:L24)</totalsRowFormula>
    </tableColumn>
    <tableColumn id="13" xr3:uid="{00000000-0010-0000-0D00-00000D000000}" name="DEC" totalsRowFunction="custom">
      <totalsRowFormula>SUM(M2:M24)</totalsRowFormula>
    </tableColumn>
    <tableColumn id="14" xr3:uid="{00000000-0010-0000-0D00-00000E000000}" name="Total" totalsRowFunction="custom">
      <totalsRowFormula>SUM(N2:N24)</totalsRowFormula>
    </tableColumn>
  </tableColumns>
  <tableStyleInfo name="2017-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Contributions_2016" displayName="Contributions_2016" ref="A1:H25" totalsRowCount="1">
  <tableColumns count="8">
    <tableColumn id="1" xr3:uid="{00000000-0010-0000-0E00-000001000000}" name="Name" totalsRowLabel="Total"/>
    <tableColumn id="2" xr3:uid="{00000000-0010-0000-0E00-000002000000}" name="July"/>
    <tableColumn id="3" xr3:uid="{00000000-0010-0000-0E00-000003000000}" name="Aug"/>
    <tableColumn id="4" xr3:uid="{00000000-0010-0000-0E00-000004000000}" name="Sep"/>
    <tableColumn id="5" xr3:uid="{00000000-0010-0000-0E00-000005000000}" name="Oct"/>
    <tableColumn id="6" xr3:uid="{00000000-0010-0000-0E00-000006000000}" name="Nov"/>
    <tableColumn id="7" xr3:uid="{00000000-0010-0000-0E00-000007000000}" name="Dec"/>
    <tableColumn id="8" xr3:uid="{00000000-0010-0000-0E00-000008000000}" name="Total-2016" totalsRowFunction="custom">
      <totalsRowFormula>SUM(H2:H24)</totalsRowFormula>
    </tableColumn>
  </tableColumns>
  <tableStyleInfo name="2016-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 dT="2026-02-01T16:04:49.00" personId="{7415CB5A-5785-4BDF-BB02-C702A804E7F7}" id="{C58654A9-7193-4F60-9113-A464694ACFE3}">
    <text>This is an approximate date</text>
  </threadedComment>
  <threadedComment ref="H2" dT="2025-01-04T14:09:08.00" personId="{7415CB5A-5785-4BDF-BB02-C702A804E7F7}" id="{E40B3DAB-830E-4E8C-8E26-824831248B13}">
    <text>As Das is no longer available, we have written off the loan.</text>
  </threadedComment>
</ThreadedComments>
</file>

<file path=xl/threadedComments/threadedComment2.xml><?xml version="1.0" encoding="utf-8"?>
<ThreadedComments xmlns="http://schemas.microsoft.com/office/spreadsheetml/2018/threadedcomments" xmlns:x="http://schemas.openxmlformats.org/spreadsheetml/2006/main">
  <threadedComment ref="I8" dT="2025-10-02T07:50:51.00" personId="{7415CB5A-5785-4BDF-BB02-C702A804E7F7}" id="{E7CA9874-B29D-4D42-9876-3565DBBF74B7}">
    <text>Need to separate interest and contribution</text>
  </threadedComment>
  <threadedComment ref="J8" dT="2025-10-02T07:32:25.00" personId="{7415CB5A-5785-4BDF-BB02-C702A804E7F7}" id="{EAF0F95D-4098-4081-922E-6092169A55C5}">
    <text>Need to check how much interest in it</text>
  </threadedComment>
  <threadedComment ref="K12" dT="2025-10-02T07:34:16.00" personId="{7415CB5A-5785-4BDF-BB02-C702A804E7F7}" id="{BAB50CAB-F3E9-418D-B6FF-C8396B758F16}" done="1">
    <text>Need to separate the interest amount in this</text>
  </threadedComment>
  <threadedComment ref="I13" dT="2025-10-02T07:29:26.00" personId="{7415CB5A-5785-4BDF-BB02-C702A804E7F7}" id="{5C80932C-2454-49D5-9941-3756DE75DE16}">
    <text>In this, interest needs to separate out</text>
  </threadedComment>
  <threadedComment ref="J13" dT="2025-10-02T07:30:23.00" personId="{7415CB5A-5785-4BDF-BB02-C702A804E7F7}" id="{8C79394D-3782-477A-BABD-A16113EE8B47}" done="1">
    <text>In this interest amount should be separate it.</text>
  </threadedComment>
</ThreadedComments>
</file>

<file path=xl/threadedComments/threadedComment3.xml><?xml version="1.0" encoding="utf-8"?>
<ThreadedComments xmlns="http://schemas.microsoft.com/office/spreadsheetml/2018/threadedcomments" xmlns:x="http://schemas.openxmlformats.org/spreadsheetml/2006/main">
  <threadedComment ref="D5" dT="2024-12-30T03:14:34.00" personId="{7415CB5A-5785-4BDF-BB02-C702A804E7F7}" id="{FBC5788A-D33B-411D-967B-F3E9BCC8E575}" done="1">
    <text>Whether for March or April?</text>
  </threadedComment>
  <threadedComment ref="G13" dT="2024-12-30T03:06:51.00" personId="{7415CB5A-5785-4BDF-BB02-C702A804E7F7}" id="{D5CFA1C6-D098-47AB-9416-7791341BF9EC}">
    <text>Need to check interest and contribution share</text>
  </threadedComment>
  <threadedComment ref="D24" dT="2024-12-30T03:18:15.00" personId="{7415CB5A-5785-4BDF-BB02-C702A804E7F7}" id="{4DB2D066-34DA-47B5-8F03-CDDCE8CC45C6}">
    <text>5K Interest from Sunil</text>
  </threadedComment>
</ThreadedComments>
</file>

<file path=xl/threadedComments/threadedComment4.xml><?xml version="1.0" encoding="utf-8"?>
<ThreadedComments xmlns="http://schemas.microsoft.com/office/spreadsheetml/2018/threadedcomments" xmlns:x="http://schemas.openxmlformats.org/spreadsheetml/2006/main">
  <threadedComment ref="J22" dT="2024-12-30T06:04:09.00" personId="{7415CB5A-5785-4BDF-BB02-C702A804E7F7}" id="{B39E3C7D-F977-4744-A868-B0AB89F1973E}">
    <text>Need to check whether these are two or only one transaction</text>
  </threadedComment>
  <threadedComment ref="F24" dT="2024-12-30T06:28:58.00" personId="{7415CB5A-5785-4BDF-BB02-C702A804E7F7}" id="{C53B9F8F-010C-4D8E-A351-3C09E325EC29}">
    <text>First contribution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sandeep.mca56@gmail.com" TargetMode="External"/><Relationship Id="rId2" Type="http://schemas.openxmlformats.org/officeDocument/2006/relationships/hyperlink" Target="mailto:bagavandas.g@gmail.com" TargetMode="External"/><Relationship Id="rId1" Type="http://schemas.openxmlformats.org/officeDocument/2006/relationships/hyperlink" Target="mailto:anil.kothacheruvu@gmail.com" TargetMode="External"/><Relationship Id="rId6" Type="http://schemas.openxmlformats.org/officeDocument/2006/relationships/table" Target="../tables/table1.xml"/><Relationship Id="rId5" Type="http://schemas.openxmlformats.org/officeDocument/2006/relationships/hyperlink" Target="mailto:sunilreddy.meda@gmail.com" TargetMode="External"/><Relationship Id="rId4" Type="http://schemas.openxmlformats.org/officeDocument/2006/relationships/hyperlink" Target="mailto:sheshagiri.gopathi@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6.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7.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8.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hyperlink" Target="http://anuum.so/" TargetMode="External"/><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3"/>
  <sheetViews>
    <sheetView tabSelected="1" zoomScale="150" zoomScaleNormal="150" workbookViewId="0">
      <pane ySplit="1" topLeftCell="A8" activePane="bottomLeft" state="frozen"/>
      <selection pane="bottomLeft" sqref="A1:C23"/>
    </sheetView>
  </sheetViews>
  <sheetFormatPr baseColWidth="10" defaultColWidth="12.6640625" defaultRowHeight="15.75" customHeight="1"/>
  <cols>
    <col min="1" max="1" width="31.1640625" customWidth="1"/>
    <col min="2" max="2" width="26.5" customWidth="1"/>
    <col min="3" max="3" width="25.6640625" customWidth="1"/>
  </cols>
  <sheetData>
    <row r="1" spans="1:3" ht="22.5" customHeight="1">
      <c r="A1" s="1" t="s">
        <v>0</v>
      </c>
      <c r="B1" s="1" t="s">
        <v>1</v>
      </c>
      <c r="C1" s="1" t="s">
        <v>203</v>
      </c>
    </row>
    <row r="2" spans="1:3" ht="22.5" customHeight="1">
      <c r="A2" s="2" t="s">
        <v>2</v>
      </c>
      <c r="B2" s="68" t="s">
        <v>197</v>
      </c>
      <c r="C2" s="69" t="s">
        <v>202</v>
      </c>
    </row>
    <row r="3" spans="1:3" ht="22.5" customHeight="1">
      <c r="A3" s="2" t="s">
        <v>3</v>
      </c>
      <c r="B3" s="44" t="s">
        <v>4</v>
      </c>
      <c r="C3" s="69" t="s">
        <v>207</v>
      </c>
    </row>
    <row r="4" spans="1:3" ht="22.5" customHeight="1">
      <c r="A4" s="4" t="s">
        <v>5</v>
      </c>
      <c r="B4" s="44" t="s">
        <v>6</v>
      </c>
      <c r="C4" s="69" t="s">
        <v>223</v>
      </c>
    </row>
    <row r="5" spans="1:3" ht="22.5" customHeight="1">
      <c r="A5" s="2" t="s">
        <v>7</v>
      </c>
      <c r="B5" s="44" t="s">
        <v>8</v>
      </c>
      <c r="C5" s="69" t="s">
        <v>204</v>
      </c>
    </row>
    <row r="6" spans="1:3" ht="22.5" customHeight="1">
      <c r="A6" s="2" t="s">
        <v>9</v>
      </c>
      <c r="B6" s="68" t="s">
        <v>198</v>
      </c>
      <c r="C6" s="70"/>
    </row>
    <row r="7" spans="1:3" ht="22.5" customHeight="1">
      <c r="A7" s="5" t="s">
        <v>10</v>
      </c>
      <c r="B7" s="44" t="s">
        <v>11</v>
      </c>
      <c r="C7" s="69" t="s">
        <v>209</v>
      </c>
    </row>
    <row r="8" spans="1:3" ht="22.5" customHeight="1">
      <c r="A8" s="2" t="s">
        <v>12</v>
      </c>
      <c r="B8" s="44" t="s">
        <v>13</v>
      </c>
      <c r="C8" s="69" t="s">
        <v>205</v>
      </c>
    </row>
    <row r="9" spans="1:3" ht="22.5" customHeight="1">
      <c r="A9" s="2" t="s">
        <v>14</v>
      </c>
      <c r="B9" s="44" t="s">
        <v>15</v>
      </c>
      <c r="C9" s="69" t="s">
        <v>206</v>
      </c>
    </row>
    <row r="10" spans="1:3" ht="22.5" customHeight="1">
      <c r="A10" s="2" t="s">
        <v>16</v>
      </c>
      <c r="B10" s="44" t="s">
        <v>17</v>
      </c>
      <c r="C10" s="69" t="s">
        <v>222</v>
      </c>
    </row>
    <row r="11" spans="1:3" ht="22.5" customHeight="1">
      <c r="A11" s="2" t="s">
        <v>18</v>
      </c>
      <c r="B11" s="44" t="s">
        <v>19</v>
      </c>
      <c r="C11" s="69" t="s">
        <v>211</v>
      </c>
    </row>
    <row r="12" spans="1:3" ht="22.5" customHeight="1">
      <c r="A12" s="2" t="s">
        <v>20</v>
      </c>
      <c r="B12" s="44" t="s">
        <v>21</v>
      </c>
      <c r="C12" s="69" t="s">
        <v>210</v>
      </c>
    </row>
    <row r="13" spans="1:3" ht="22.5" customHeight="1">
      <c r="A13" s="2" t="s">
        <v>22</v>
      </c>
      <c r="B13" s="44" t="s">
        <v>23</v>
      </c>
      <c r="C13" s="69" t="s">
        <v>221</v>
      </c>
    </row>
    <row r="14" spans="1:3" ht="22.5" customHeight="1">
      <c r="A14" s="2" t="s">
        <v>24</v>
      </c>
      <c r="B14" s="68" t="s">
        <v>199</v>
      </c>
      <c r="C14" s="69" t="s">
        <v>220</v>
      </c>
    </row>
    <row r="15" spans="1:3" ht="22.5" customHeight="1">
      <c r="A15" s="2" t="s">
        <v>25</v>
      </c>
      <c r="B15" s="68" t="s">
        <v>200</v>
      </c>
      <c r="C15" s="69" t="s">
        <v>219</v>
      </c>
    </row>
    <row r="16" spans="1:3" ht="22.5" customHeight="1">
      <c r="A16" s="2" t="s">
        <v>26</v>
      </c>
      <c r="B16" s="44" t="s">
        <v>27</v>
      </c>
      <c r="C16" s="69" t="s">
        <v>218</v>
      </c>
    </row>
    <row r="17" spans="1:3" ht="22.5" customHeight="1">
      <c r="A17" s="2" t="s">
        <v>28</v>
      </c>
      <c r="B17" s="68" t="s">
        <v>201</v>
      </c>
      <c r="C17" s="69" t="s">
        <v>217</v>
      </c>
    </row>
    <row r="18" spans="1:3" ht="22.5" customHeight="1">
      <c r="A18" s="2" t="s">
        <v>29</v>
      </c>
      <c r="B18" s="44" t="s">
        <v>30</v>
      </c>
      <c r="C18" s="69" t="s">
        <v>212</v>
      </c>
    </row>
    <row r="19" spans="1:3" ht="22.5" customHeight="1">
      <c r="A19" s="2" t="s">
        <v>31</v>
      </c>
      <c r="B19" s="44" t="s">
        <v>32</v>
      </c>
      <c r="C19" s="69" t="s">
        <v>216</v>
      </c>
    </row>
    <row r="20" spans="1:3" ht="22.5" customHeight="1">
      <c r="A20" s="2" t="s">
        <v>33</v>
      </c>
      <c r="B20" s="44" t="s">
        <v>34</v>
      </c>
      <c r="C20" s="69" t="s">
        <v>208</v>
      </c>
    </row>
    <row r="21" spans="1:3" ht="22.5" customHeight="1">
      <c r="A21" s="2" t="s">
        <v>35</v>
      </c>
      <c r="B21" s="44" t="s">
        <v>36</v>
      </c>
      <c r="C21" s="69" t="s">
        <v>213</v>
      </c>
    </row>
    <row r="22" spans="1:3" ht="22.5" customHeight="1">
      <c r="A22" s="2" t="s">
        <v>37</v>
      </c>
      <c r="B22" s="44" t="s">
        <v>38</v>
      </c>
      <c r="C22" s="69" t="s">
        <v>215</v>
      </c>
    </row>
    <row r="23" spans="1:3" ht="22.5" customHeight="1">
      <c r="A23" s="2" t="s">
        <v>39</v>
      </c>
      <c r="B23" s="44" t="s">
        <v>40</v>
      </c>
      <c r="C23" s="69" t="s">
        <v>214</v>
      </c>
    </row>
  </sheetData>
  <hyperlinks>
    <hyperlink ref="B2" r:id="rId1" xr:uid="{A2C79BE3-21D2-7A48-9602-E254FFBE5C76}"/>
    <hyperlink ref="B6" r:id="rId2" xr:uid="{34F5606E-EB4C-BC42-91F0-1D315C8816D5}"/>
    <hyperlink ref="B14" r:id="rId3" xr:uid="{989FB462-4563-5D49-B745-FDD95EC5A071}"/>
    <hyperlink ref="B15" r:id="rId4" xr:uid="{2538DC9A-048C-8F40-A019-25FE05541198}"/>
    <hyperlink ref="B17" r:id="rId5" xr:uid="{14B71BA8-7985-5943-98F1-47C299B63869}"/>
  </hyperlinks>
  <pageMargins left="0.7" right="0.7" top="0.75" bottom="0.75" header="0.3" footer="0.3"/>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20"/>
  <sheetViews>
    <sheetView workbookViewId="0"/>
  </sheetViews>
  <sheetFormatPr baseColWidth="10" defaultColWidth="12.6640625" defaultRowHeight="15.75" customHeight="1"/>
  <cols>
    <col min="1" max="1" width="26.33203125" customWidth="1"/>
    <col min="4" max="4" width="15.1640625" customWidth="1"/>
    <col min="5" max="5" width="14.33203125" customWidth="1"/>
    <col min="7" max="7" width="15.1640625" customWidth="1"/>
    <col min="8" max="8" width="14.6640625" customWidth="1"/>
    <col min="9" max="9" width="16.6640625" customWidth="1"/>
    <col min="10" max="11" width="14.33203125" customWidth="1"/>
  </cols>
  <sheetData>
    <row r="1" spans="1:15" ht="15.75" customHeight="1">
      <c r="A1" s="57" t="s">
        <v>41</v>
      </c>
      <c r="B1" s="58"/>
      <c r="C1" s="6"/>
      <c r="D1" s="59" t="s">
        <v>42</v>
      </c>
      <c r="E1" s="60"/>
      <c r="F1" s="6"/>
      <c r="G1" s="61" t="s">
        <v>43</v>
      </c>
      <c r="H1" s="60"/>
      <c r="I1" s="6"/>
      <c r="J1" s="6"/>
      <c r="K1" s="6"/>
      <c r="L1" s="6"/>
      <c r="M1" s="6"/>
      <c r="N1" s="6"/>
      <c r="O1" s="6"/>
    </row>
    <row r="2" spans="1:15" ht="15.75" customHeight="1">
      <c r="A2" s="7" t="s">
        <v>44</v>
      </c>
      <c r="B2" s="7">
        <f>Contributions!B25-Contributions!B24</f>
        <v>880317</v>
      </c>
      <c r="C2" s="6"/>
      <c r="D2" s="7" t="s">
        <v>45</v>
      </c>
      <c r="E2" s="7">
        <f>SUM(Loans!M:M)</f>
        <v>550000</v>
      </c>
      <c r="F2" s="6"/>
      <c r="G2" s="7" t="s">
        <v>46</v>
      </c>
      <c r="H2" s="7">
        <f>SUM(Donations!E:E)</f>
        <v>145000</v>
      </c>
      <c r="I2" s="6"/>
      <c r="J2" s="6"/>
      <c r="K2" s="6"/>
      <c r="L2" s="6"/>
      <c r="M2" s="6"/>
      <c r="N2" s="6"/>
      <c r="O2" s="6"/>
    </row>
    <row r="3" spans="1:15" ht="15.75" customHeight="1">
      <c r="A3" s="7" t="s">
        <v>47</v>
      </c>
      <c r="B3" s="7">
        <f>Contributions!B24</f>
        <v>104038</v>
      </c>
      <c r="C3" s="6"/>
      <c r="D3" s="7" t="s">
        <v>48</v>
      </c>
      <c r="E3" s="7">
        <f>SUM(Loans!N:N)</f>
        <v>70000</v>
      </c>
      <c r="F3" s="6"/>
      <c r="G3" s="7"/>
      <c r="H3" s="7"/>
      <c r="I3" s="6"/>
      <c r="J3" s="6"/>
      <c r="K3" s="6"/>
      <c r="L3" s="6"/>
      <c r="M3" s="6"/>
      <c r="N3" s="6"/>
      <c r="O3" s="6"/>
    </row>
    <row r="4" spans="1:15" ht="15.75" customHeight="1">
      <c r="A4" s="62"/>
      <c r="B4" s="58"/>
      <c r="C4" s="6"/>
      <c r="D4" s="62"/>
      <c r="E4" s="58"/>
      <c r="F4" s="6"/>
      <c r="G4" s="62"/>
      <c r="H4" s="58"/>
      <c r="I4" s="6"/>
      <c r="J4" s="6"/>
      <c r="K4" s="6"/>
      <c r="L4" s="6"/>
      <c r="M4" s="6"/>
      <c r="N4" s="6"/>
      <c r="O4" s="6"/>
    </row>
    <row r="5" spans="1:15" ht="15.75" customHeight="1">
      <c r="A5" s="8" t="s">
        <v>49</v>
      </c>
      <c r="B5" s="8">
        <f>SUM(B2:B3)</f>
        <v>984355</v>
      </c>
      <c r="C5" s="6"/>
      <c r="D5" s="8" t="s">
        <v>49</v>
      </c>
      <c r="E5" s="8">
        <f>SUM(E2:E3)</f>
        <v>620000</v>
      </c>
      <c r="F5" s="6"/>
      <c r="G5" s="8" t="s">
        <v>49</v>
      </c>
      <c r="H5" s="8">
        <f>SUM(H2:H3)</f>
        <v>145000</v>
      </c>
      <c r="I5" s="6"/>
      <c r="J5" s="6"/>
      <c r="K5" s="6"/>
      <c r="L5" s="6"/>
      <c r="M5" s="6"/>
      <c r="N5" s="6"/>
      <c r="O5" s="6"/>
    </row>
    <row r="6" spans="1:15" ht="15.75" customHeight="1">
      <c r="A6" s="6"/>
      <c r="B6" s="6"/>
      <c r="C6" s="6"/>
      <c r="D6" s="6"/>
      <c r="E6" s="6"/>
      <c r="F6" s="6"/>
      <c r="G6" s="6"/>
      <c r="H6" s="6"/>
      <c r="I6" s="6"/>
      <c r="J6" s="6"/>
      <c r="K6" s="6"/>
      <c r="L6" s="6"/>
      <c r="M6" s="6"/>
      <c r="N6" s="6"/>
      <c r="O6" s="6"/>
    </row>
    <row r="7" spans="1:15" ht="15.75" customHeight="1">
      <c r="A7" s="6"/>
      <c r="B7" s="6"/>
      <c r="C7" s="6"/>
      <c r="D7" s="6"/>
      <c r="E7" s="6"/>
      <c r="F7" s="6"/>
      <c r="G7" s="6"/>
      <c r="H7" s="6"/>
      <c r="I7" s="6"/>
      <c r="J7" s="6"/>
      <c r="K7" s="6"/>
      <c r="L7" s="6"/>
      <c r="M7" s="6"/>
      <c r="N7" s="6"/>
      <c r="O7" s="6"/>
    </row>
    <row r="8" spans="1:15" ht="15.75" customHeight="1">
      <c r="A8" s="63" t="s">
        <v>50</v>
      </c>
      <c r="B8" s="58"/>
      <c r="C8" s="6"/>
      <c r="D8" s="6"/>
      <c r="E8" s="6"/>
      <c r="F8" s="6"/>
      <c r="G8" s="6"/>
      <c r="H8" s="6"/>
      <c r="I8" s="6"/>
      <c r="J8" s="6"/>
      <c r="K8" s="6"/>
      <c r="L8" s="6"/>
      <c r="M8" s="6"/>
      <c r="N8" s="6"/>
      <c r="O8" s="6"/>
    </row>
    <row r="9" spans="1:15" ht="15.75" customHeight="1">
      <c r="A9" s="9" t="s">
        <v>41</v>
      </c>
      <c r="B9" s="10">
        <f>B5</f>
        <v>984355</v>
      </c>
      <c r="C9" s="6"/>
      <c r="D9" s="6"/>
      <c r="E9" s="6"/>
      <c r="F9" s="6"/>
      <c r="G9" s="6"/>
      <c r="H9" s="6"/>
      <c r="I9" s="6"/>
      <c r="J9" s="6"/>
      <c r="K9" s="6"/>
      <c r="L9" s="6"/>
      <c r="M9" s="6"/>
      <c r="N9" s="6"/>
      <c r="O9" s="6"/>
    </row>
    <row r="10" spans="1:15" ht="15.75" customHeight="1">
      <c r="A10" s="9" t="s">
        <v>51</v>
      </c>
      <c r="B10" s="10">
        <v>214349</v>
      </c>
      <c r="C10" s="6"/>
      <c r="D10" s="6"/>
      <c r="E10" s="6"/>
      <c r="F10" s="6"/>
      <c r="G10" s="6"/>
      <c r="H10" s="6"/>
      <c r="I10" s="6"/>
      <c r="J10" s="6"/>
      <c r="K10" s="6"/>
      <c r="L10" s="6"/>
      <c r="M10" s="6"/>
      <c r="N10" s="6"/>
      <c r="O10" s="6"/>
    </row>
    <row r="11" spans="1:15" ht="15.75" customHeight="1">
      <c r="A11" s="9" t="s">
        <v>52</v>
      </c>
      <c r="B11" s="10">
        <f>E5</f>
        <v>620000</v>
      </c>
      <c r="C11" s="6"/>
      <c r="D11" s="6"/>
      <c r="E11" s="6"/>
      <c r="F11" s="6"/>
      <c r="G11" s="6"/>
      <c r="H11" s="6"/>
      <c r="I11" s="6"/>
      <c r="J11" s="6"/>
      <c r="K11" s="6"/>
      <c r="L11" s="6"/>
      <c r="M11" s="6"/>
      <c r="N11" s="6"/>
      <c r="O11" s="6"/>
    </row>
    <row r="12" spans="1:15" ht="15.75" customHeight="1">
      <c r="A12" s="9" t="s">
        <v>43</v>
      </c>
      <c r="B12" s="10">
        <f>H5</f>
        <v>145000</v>
      </c>
      <c r="C12" s="6"/>
      <c r="D12" s="6"/>
      <c r="E12" s="6"/>
      <c r="F12" s="6"/>
      <c r="G12" s="6"/>
      <c r="H12" s="6"/>
      <c r="I12" s="6"/>
      <c r="J12" s="6"/>
      <c r="K12" s="6"/>
      <c r="L12" s="6"/>
      <c r="M12" s="6"/>
      <c r="N12" s="6"/>
      <c r="O12" s="6"/>
    </row>
    <row r="13" spans="1:15" ht="15.75" customHeight="1">
      <c r="A13" s="64"/>
      <c r="B13" s="58"/>
      <c r="C13" s="6"/>
      <c r="D13" s="6"/>
      <c r="E13" s="6"/>
      <c r="F13" s="6"/>
      <c r="G13" s="6"/>
      <c r="H13" s="6"/>
      <c r="I13" s="6"/>
      <c r="J13" s="6"/>
      <c r="K13" s="6"/>
      <c r="L13" s="6"/>
      <c r="M13" s="6"/>
      <c r="N13" s="6"/>
      <c r="O13" s="6"/>
    </row>
    <row r="14" spans="1:15" ht="15.75" customHeight="1">
      <c r="A14" s="11" t="s">
        <v>53</v>
      </c>
      <c r="B14" s="12">
        <f>B9-B10-B11-B12</f>
        <v>5006</v>
      </c>
      <c r="C14" s="6"/>
      <c r="D14" s="6"/>
      <c r="E14" s="6"/>
      <c r="F14" s="6"/>
      <c r="G14" s="6"/>
      <c r="H14" s="6"/>
      <c r="I14" s="6"/>
      <c r="J14" s="6"/>
      <c r="K14" s="6"/>
      <c r="L14" s="6"/>
      <c r="M14" s="6"/>
      <c r="N14" s="6"/>
      <c r="O14" s="6"/>
    </row>
    <row r="15" spans="1:15" ht="15.75" customHeight="1">
      <c r="A15" s="6"/>
      <c r="B15" s="6"/>
      <c r="C15" s="6"/>
      <c r="D15" s="6"/>
      <c r="E15" s="6"/>
      <c r="F15" s="6"/>
      <c r="G15" s="6"/>
      <c r="H15" s="6"/>
      <c r="I15" s="6"/>
      <c r="J15" s="6"/>
      <c r="K15" s="6"/>
      <c r="L15" s="6"/>
      <c r="M15" s="6"/>
      <c r="N15" s="6"/>
      <c r="O15" s="6"/>
    </row>
    <row r="16" spans="1:15" ht="15.75" customHeight="1">
      <c r="A16" s="6"/>
      <c r="B16" s="6"/>
      <c r="C16" s="6"/>
      <c r="D16" s="6"/>
      <c r="E16" s="6"/>
      <c r="F16" s="6"/>
      <c r="G16" s="6"/>
      <c r="H16" s="6"/>
      <c r="I16" s="6"/>
      <c r="J16" s="6"/>
      <c r="K16" s="6"/>
      <c r="L16" s="6"/>
      <c r="M16" s="6"/>
      <c r="N16" s="6"/>
      <c r="O16" s="6"/>
    </row>
    <row r="17" spans="1:15" ht="15.75" customHeight="1">
      <c r="A17" s="6"/>
      <c r="B17" s="6"/>
      <c r="C17" s="6"/>
      <c r="D17" s="6"/>
      <c r="E17" s="6"/>
      <c r="F17" s="6"/>
      <c r="G17" s="6"/>
      <c r="H17" s="6"/>
      <c r="I17" s="6"/>
      <c r="J17" s="6"/>
      <c r="K17" s="6"/>
      <c r="L17" s="6"/>
      <c r="M17" s="6"/>
      <c r="N17" s="6"/>
      <c r="O17" s="6"/>
    </row>
    <row r="18" spans="1:15" ht="15.75" customHeight="1">
      <c r="A18" s="6"/>
      <c r="B18" s="6"/>
      <c r="C18" s="6"/>
      <c r="D18" s="6"/>
      <c r="E18" s="6"/>
      <c r="F18" s="6"/>
      <c r="G18" s="6"/>
      <c r="H18" s="6"/>
      <c r="I18" s="6"/>
      <c r="J18" s="6"/>
      <c r="K18" s="6"/>
      <c r="L18" s="6"/>
      <c r="M18" s="6"/>
      <c r="N18" s="6"/>
      <c r="O18" s="6"/>
    </row>
    <row r="19" spans="1:15" ht="15.75" customHeight="1">
      <c r="A19" s="6"/>
      <c r="B19" s="6"/>
      <c r="C19" s="6"/>
      <c r="D19" s="6"/>
      <c r="E19" s="6"/>
      <c r="F19" s="6"/>
      <c r="G19" s="6"/>
      <c r="H19" s="6"/>
      <c r="I19" s="6"/>
      <c r="J19" s="6"/>
      <c r="K19" s="6"/>
      <c r="L19" s="6"/>
      <c r="M19" s="6"/>
      <c r="N19" s="6"/>
      <c r="O19" s="6"/>
    </row>
    <row r="20" spans="1:15" ht="15.75" customHeight="1">
      <c r="A20" s="6"/>
      <c r="B20" s="6"/>
      <c r="C20" s="6"/>
      <c r="D20" s="6"/>
      <c r="E20" s="6"/>
      <c r="F20" s="6"/>
      <c r="G20" s="6"/>
      <c r="H20" s="6"/>
      <c r="I20" s="6"/>
      <c r="J20" s="6"/>
      <c r="K20" s="6"/>
      <c r="L20" s="6"/>
      <c r="M20" s="6"/>
      <c r="N20" s="6"/>
      <c r="O20" s="6"/>
    </row>
  </sheetData>
  <mergeCells count="8">
    <mergeCell ref="A8:B8"/>
    <mergeCell ref="A13:B13"/>
    <mergeCell ref="A1:B1"/>
    <mergeCell ref="D1:E1"/>
    <mergeCell ref="G1:H1"/>
    <mergeCell ref="A4:B4"/>
    <mergeCell ref="D4:E4"/>
    <mergeCell ref="G4:H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2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7.5" customWidth="1"/>
    <col min="2" max="2" width="12.33203125" customWidth="1"/>
    <col min="3" max="13" width="12.5" customWidth="1"/>
    <col min="14" max="25" width="11.6640625" customWidth="1"/>
  </cols>
  <sheetData>
    <row r="1" spans="1:13" ht="22.5" customHeight="1">
      <c r="A1" s="1" t="s">
        <v>54</v>
      </c>
      <c r="B1" s="13" t="s">
        <v>55</v>
      </c>
      <c r="C1" s="13" t="s">
        <v>56</v>
      </c>
      <c r="D1" s="13" t="s">
        <v>57</v>
      </c>
      <c r="E1" s="13" t="s">
        <v>58</v>
      </c>
      <c r="F1" s="13" t="s">
        <v>59</v>
      </c>
      <c r="G1" s="13" t="s">
        <v>60</v>
      </c>
      <c r="H1" s="13" t="s">
        <v>61</v>
      </c>
      <c r="I1" s="1" t="s">
        <v>62</v>
      </c>
      <c r="J1" s="1" t="s">
        <v>63</v>
      </c>
      <c r="K1" s="1" t="s">
        <v>64</v>
      </c>
      <c r="L1" s="1" t="s">
        <v>65</v>
      </c>
      <c r="M1" s="1" t="s">
        <v>66</v>
      </c>
    </row>
    <row r="2" spans="1:13" ht="22.5" customHeight="1">
      <c r="A2" s="2" t="s">
        <v>2</v>
      </c>
      <c r="B2" s="14">
        <f t="shared" ref="B2:B24" si="0">SUM(C2:X2)</f>
        <v>59000</v>
      </c>
      <c r="C2" s="14">
        <f>'2016'!H2</f>
        <v>8000</v>
      </c>
      <c r="D2" s="14">
        <f>'2017'!N2</f>
        <v>8500</v>
      </c>
      <c r="E2" s="14">
        <f>'2018'!N2</f>
        <v>6000</v>
      </c>
      <c r="F2" s="14">
        <f>'2019'!N2</f>
        <v>6000</v>
      </c>
      <c r="G2" s="14">
        <f>'2020'!N2</f>
        <v>5500</v>
      </c>
      <c r="H2" s="14">
        <f>'2021'!N2</f>
        <v>4500</v>
      </c>
      <c r="I2" s="14">
        <f>'2022'!N2</f>
        <v>500</v>
      </c>
      <c r="J2" s="14">
        <f>'2023'!N2</f>
        <v>1500</v>
      </c>
      <c r="K2" s="14">
        <f>'2024'!N2</f>
        <v>6000</v>
      </c>
      <c r="L2" s="14">
        <f>'2025'!N2</f>
        <v>10000</v>
      </c>
      <c r="M2" s="15">
        <f>'2026'!N2</f>
        <v>2500</v>
      </c>
    </row>
    <row r="3" spans="1:13" ht="22.5" customHeight="1">
      <c r="A3" s="2" t="s">
        <v>3</v>
      </c>
      <c r="B3" s="14">
        <f t="shared" si="0"/>
        <v>44000</v>
      </c>
      <c r="C3" s="14">
        <f>'2016'!H3</f>
        <v>3500</v>
      </c>
      <c r="D3" s="14">
        <f>'2017'!N3</f>
        <v>6000</v>
      </c>
      <c r="E3" s="14">
        <f>'2018'!N3</f>
        <v>4500</v>
      </c>
      <c r="F3" s="14">
        <f>'2019'!N3</f>
        <v>0</v>
      </c>
      <c r="G3" s="14">
        <f>'2020'!N3</f>
        <v>4000</v>
      </c>
      <c r="H3" s="14">
        <f>'2021'!N3</f>
        <v>4500</v>
      </c>
      <c r="I3" s="14">
        <f>'2022'!N3</f>
        <v>1500</v>
      </c>
      <c r="J3" s="14">
        <f>'2023'!N3</f>
        <v>3000</v>
      </c>
      <c r="K3" s="14">
        <f>'2024'!N3</f>
        <v>1000</v>
      </c>
      <c r="L3" s="14">
        <f>'2025'!N3</f>
        <v>16000</v>
      </c>
      <c r="M3" s="16">
        <f>'2026'!N3</f>
        <v>0</v>
      </c>
    </row>
    <row r="4" spans="1:13" ht="22.5" customHeight="1">
      <c r="A4" s="4" t="s">
        <v>5</v>
      </c>
      <c r="B4" s="14">
        <f t="shared" si="0"/>
        <v>59000</v>
      </c>
      <c r="C4" s="14">
        <f>'2016'!H4</f>
        <v>3500</v>
      </c>
      <c r="D4" s="14">
        <f>'2017'!N4</f>
        <v>6000</v>
      </c>
      <c r="E4" s="14">
        <f>'2018'!N4</f>
        <v>6000</v>
      </c>
      <c r="F4" s="14">
        <f>'2019'!N4</f>
        <v>6000</v>
      </c>
      <c r="G4" s="14">
        <f>'2020'!N4</f>
        <v>6000</v>
      </c>
      <c r="H4" s="14">
        <f>'2021'!N4</f>
        <v>6000</v>
      </c>
      <c r="I4" s="14">
        <f>'2022'!N4</f>
        <v>5500</v>
      </c>
      <c r="J4" s="14">
        <f>'2023'!N4</f>
        <v>5500</v>
      </c>
      <c r="K4" s="14">
        <f>'2024'!N4</f>
        <v>6000</v>
      </c>
      <c r="L4" s="14">
        <f>'2025'!N4</f>
        <v>6000</v>
      </c>
      <c r="M4" s="16">
        <f>'2026'!N4</f>
        <v>2500</v>
      </c>
    </row>
    <row r="5" spans="1:13" ht="22.5" customHeight="1">
      <c r="A5" s="2" t="s">
        <v>7</v>
      </c>
      <c r="B5" s="14">
        <f t="shared" si="0"/>
        <v>57500</v>
      </c>
      <c r="C5" s="14">
        <f>'2016'!H5</f>
        <v>4000</v>
      </c>
      <c r="D5" s="14">
        <f>'2017'!N5</f>
        <v>11000</v>
      </c>
      <c r="E5" s="14">
        <f>'2018'!N5</f>
        <v>10500</v>
      </c>
      <c r="F5" s="14">
        <f>'2019'!N5</f>
        <v>3000</v>
      </c>
      <c r="G5" s="14">
        <f>'2020'!N5</f>
        <v>3000</v>
      </c>
      <c r="H5" s="14">
        <f>'2021'!N5</f>
        <v>6000</v>
      </c>
      <c r="I5" s="14">
        <f>'2022'!N5</f>
        <v>2500</v>
      </c>
      <c r="J5" s="14">
        <f>'2023'!N5</f>
        <v>4000</v>
      </c>
      <c r="K5" s="14">
        <f>'2024'!N5</f>
        <v>5500</v>
      </c>
      <c r="L5" s="14">
        <f>'2025'!N5</f>
        <v>5500</v>
      </c>
      <c r="M5" s="16">
        <f>'2026'!N5</f>
        <v>2500</v>
      </c>
    </row>
    <row r="6" spans="1:13" ht="22.5" customHeight="1">
      <c r="A6" s="2" t="s">
        <v>9</v>
      </c>
      <c r="B6" s="14">
        <f t="shared" si="0"/>
        <v>20500</v>
      </c>
      <c r="C6" s="14">
        <f>'2016'!H6</f>
        <v>6000</v>
      </c>
      <c r="D6" s="14">
        <f>'2017'!N6</f>
        <v>3000</v>
      </c>
      <c r="E6" s="14">
        <f>'2018'!N6</f>
        <v>0</v>
      </c>
      <c r="F6" s="14">
        <f>'2019'!N6</f>
        <v>0</v>
      </c>
      <c r="G6" s="14">
        <f>'2020'!N6</f>
        <v>4000</v>
      </c>
      <c r="H6" s="14">
        <f>'2021'!N6</f>
        <v>5000</v>
      </c>
      <c r="I6" s="14">
        <f>'2022'!N6</f>
        <v>2500</v>
      </c>
      <c r="J6" s="14">
        <f>'2023'!N6</f>
        <v>0</v>
      </c>
      <c r="K6" s="14">
        <f>'2024'!N6</f>
        <v>0</v>
      </c>
      <c r="L6" s="14">
        <f>'2025'!N6</f>
        <v>0</v>
      </c>
      <c r="M6" s="16">
        <f>'2026'!N6</f>
        <v>0</v>
      </c>
    </row>
    <row r="7" spans="1:13" ht="22.5" customHeight="1">
      <c r="A7" s="5" t="s">
        <v>10</v>
      </c>
      <c r="B7" s="14">
        <f t="shared" si="0"/>
        <v>27500</v>
      </c>
      <c r="C7" s="14">
        <f>'2016'!H7</f>
        <v>4500</v>
      </c>
      <c r="D7" s="14">
        <f>'2017'!N7</f>
        <v>9000</v>
      </c>
      <c r="E7" s="14">
        <f>'2018'!N7</f>
        <v>5000</v>
      </c>
      <c r="F7" s="14">
        <f>'2019'!N7</f>
        <v>3000</v>
      </c>
      <c r="G7" s="14">
        <f>'2020'!N7</f>
        <v>6000</v>
      </c>
      <c r="H7" s="14">
        <f>'2021'!N7</f>
        <v>0</v>
      </c>
      <c r="I7" s="14">
        <f>'2022'!N7</f>
        <v>0</v>
      </c>
      <c r="J7" s="14">
        <f>'2023'!N7</f>
        <v>0</v>
      </c>
      <c r="K7" s="14">
        <f>'2024'!N7</f>
        <v>0</v>
      </c>
      <c r="L7" s="14">
        <f>'2025'!N7</f>
        <v>0</v>
      </c>
      <c r="M7" s="16">
        <f>'2026'!N7</f>
        <v>0</v>
      </c>
    </row>
    <row r="8" spans="1:13" ht="22.5" customHeight="1">
      <c r="A8" s="2" t="s">
        <v>12</v>
      </c>
      <c r="B8" s="14">
        <f t="shared" si="0"/>
        <v>57900</v>
      </c>
      <c r="C8" s="14">
        <f>'2016'!H8</f>
        <v>5000</v>
      </c>
      <c r="D8" s="14">
        <f>'2017'!N8</f>
        <v>3500</v>
      </c>
      <c r="E8" s="14">
        <f>'2018'!N8</f>
        <v>5000</v>
      </c>
      <c r="F8" s="14">
        <f>'2019'!N8</f>
        <v>4500</v>
      </c>
      <c r="G8" s="14">
        <f>'2020'!N8</f>
        <v>6900</v>
      </c>
      <c r="H8" s="14">
        <f>'2021'!N8</f>
        <v>5800</v>
      </c>
      <c r="I8" s="14">
        <f>'2022'!N8</f>
        <v>7000</v>
      </c>
      <c r="J8" s="14">
        <f>'2023'!N8</f>
        <v>6000</v>
      </c>
      <c r="K8" s="14">
        <f>'2024'!N8</f>
        <v>3500</v>
      </c>
      <c r="L8" s="14">
        <f>'2025'!N8</f>
        <v>6950</v>
      </c>
      <c r="M8" s="16">
        <f>'2026'!N8</f>
        <v>3750</v>
      </c>
    </row>
    <row r="9" spans="1:13" ht="22.5" customHeight="1">
      <c r="A9" s="2" t="s">
        <v>14</v>
      </c>
      <c r="B9" s="14">
        <f t="shared" si="0"/>
        <v>36050</v>
      </c>
      <c r="C9" s="14">
        <f>'2016'!H9</f>
        <v>3500</v>
      </c>
      <c r="D9" s="14">
        <f>'2017'!N9</f>
        <v>6050</v>
      </c>
      <c r="E9" s="14">
        <f>'2018'!N9</f>
        <v>6000</v>
      </c>
      <c r="F9" s="14">
        <f>'2019'!N9</f>
        <v>6500</v>
      </c>
      <c r="G9" s="14">
        <f>'2020'!N9</f>
        <v>5000</v>
      </c>
      <c r="H9" s="14">
        <f>'2021'!N9</f>
        <v>6000</v>
      </c>
      <c r="I9" s="14">
        <f>'2022'!N9</f>
        <v>2000</v>
      </c>
      <c r="J9" s="14">
        <f>'2023'!N9</f>
        <v>0</v>
      </c>
      <c r="K9" s="14">
        <f>'2024'!N9</f>
        <v>0</v>
      </c>
      <c r="L9" s="14">
        <f>'2025'!N9</f>
        <v>1000</v>
      </c>
      <c r="M9" s="16">
        <f>'2026'!N9</f>
        <v>0</v>
      </c>
    </row>
    <row r="10" spans="1:13" ht="22.5" customHeight="1">
      <c r="A10" s="2" t="s">
        <v>16</v>
      </c>
      <c r="B10" s="14">
        <f t="shared" si="0"/>
        <v>16000</v>
      </c>
      <c r="C10" s="14">
        <f>'2016'!H10</f>
        <v>4000</v>
      </c>
      <c r="D10" s="14">
        <f>'2017'!N10</f>
        <v>4000</v>
      </c>
      <c r="E10" s="14">
        <f>'2018'!N10</f>
        <v>3000</v>
      </c>
      <c r="F10" s="14">
        <f>'2019'!N10</f>
        <v>5000</v>
      </c>
      <c r="G10" s="14">
        <f>'2020'!N10</f>
        <v>0</v>
      </c>
      <c r="H10" s="14">
        <f>'2021'!N10</f>
        <v>0</v>
      </c>
      <c r="I10" s="14">
        <f>'2022'!N10</f>
        <v>0</v>
      </c>
      <c r="J10" s="14">
        <f>'2023'!N10</f>
        <v>0</v>
      </c>
      <c r="K10" s="14">
        <f>'2024'!N10</f>
        <v>0</v>
      </c>
      <c r="L10" s="14">
        <f>'2025'!N10</f>
        <v>0</v>
      </c>
      <c r="M10" s="16">
        <f>'2026'!N10</f>
        <v>0</v>
      </c>
    </row>
    <row r="11" spans="1:13" ht="22.5" customHeight="1">
      <c r="A11" s="2" t="s">
        <v>18</v>
      </c>
      <c r="B11" s="14">
        <f t="shared" si="0"/>
        <v>59000</v>
      </c>
      <c r="C11" s="14">
        <f>'2016'!H11</f>
        <v>3500</v>
      </c>
      <c r="D11" s="14">
        <f>'2017'!N11</f>
        <v>6000</v>
      </c>
      <c r="E11" s="14">
        <f>'2018'!N11</f>
        <v>6000</v>
      </c>
      <c r="F11" s="14">
        <f>'2019'!N11</f>
        <v>6000</v>
      </c>
      <c r="G11" s="14">
        <f>'2020'!N11</f>
        <v>6000</v>
      </c>
      <c r="H11" s="14">
        <f>'2021'!N11</f>
        <v>6000</v>
      </c>
      <c r="I11" s="14">
        <f>'2022'!N11</f>
        <v>5500</v>
      </c>
      <c r="J11" s="14">
        <f>'2023'!N11</f>
        <v>5500</v>
      </c>
      <c r="K11" s="14">
        <f>'2024'!N11</f>
        <v>6000</v>
      </c>
      <c r="L11" s="14">
        <f>'2025'!N11</f>
        <v>6000</v>
      </c>
      <c r="M11" s="16">
        <f>'2026'!N11</f>
        <v>2500</v>
      </c>
    </row>
    <row r="12" spans="1:13" ht="22.5" customHeight="1">
      <c r="A12" s="2" t="s">
        <v>20</v>
      </c>
      <c r="B12" s="14">
        <f t="shared" si="0"/>
        <v>60560</v>
      </c>
      <c r="C12" s="14">
        <f>'2016'!H12</f>
        <v>3500</v>
      </c>
      <c r="D12" s="14">
        <f>'2017'!N12</f>
        <v>6000</v>
      </c>
      <c r="E12" s="14">
        <f>'2018'!N12</f>
        <v>6000</v>
      </c>
      <c r="F12" s="14">
        <f>'2019'!N12</f>
        <v>0</v>
      </c>
      <c r="G12" s="14">
        <f>'2020'!N12</f>
        <v>12000</v>
      </c>
      <c r="H12" s="14">
        <f>'2021'!N12</f>
        <v>6000</v>
      </c>
      <c r="I12" s="14">
        <f>'2022'!N12</f>
        <v>5500</v>
      </c>
      <c r="J12" s="14">
        <f>'2023'!N12</f>
        <v>5500</v>
      </c>
      <c r="K12" s="14">
        <f>'2024'!N12</f>
        <v>5000</v>
      </c>
      <c r="L12" s="14">
        <f>'2025'!N12</f>
        <v>7310</v>
      </c>
      <c r="M12" s="16">
        <f>'2026'!N12</f>
        <v>3750</v>
      </c>
    </row>
    <row r="13" spans="1:13" ht="22.5" customHeight="1">
      <c r="A13" s="2" t="s">
        <v>22</v>
      </c>
      <c r="B13" s="14">
        <f t="shared" si="0"/>
        <v>42801</v>
      </c>
      <c r="C13" s="14">
        <f>'2016'!H13</f>
        <v>3500</v>
      </c>
      <c r="D13" s="14">
        <f>'2017'!N13</f>
        <v>6000</v>
      </c>
      <c r="E13" s="14">
        <f>'2018'!N13</f>
        <v>5500</v>
      </c>
      <c r="F13" s="14">
        <f>'2019'!N13</f>
        <v>2000</v>
      </c>
      <c r="G13" s="14">
        <f>'2020'!N13</f>
        <v>2000</v>
      </c>
      <c r="H13" s="14">
        <f>'2021'!N13</f>
        <v>1000</v>
      </c>
      <c r="I13" s="14">
        <f>'2022'!N13</f>
        <v>5000</v>
      </c>
      <c r="J13" s="14">
        <f>'2023'!N13</f>
        <v>2500</v>
      </c>
      <c r="K13" s="14">
        <f>'2024'!N13</f>
        <v>6300</v>
      </c>
      <c r="L13" s="14">
        <f>'2025'!N13</f>
        <v>7501</v>
      </c>
      <c r="M13" s="16">
        <f>'2026'!N13</f>
        <v>1500</v>
      </c>
    </row>
    <row r="14" spans="1:13" ht="22.5" customHeight="1">
      <c r="A14" s="2" t="s">
        <v>24</v>
      </c>
      <c r="B14" s="14">
        <f t="shared" si="0"/>
        <v>60000</v>
      </c>
      <c r="C14" s="14">
        <f>'2016'!H14</f>
        <v>4000</v>
      </c>
      <c r="D14" s="14">
        <f>'2017'!N14</f>
        <v>6500</v>
      </c>
      <c r="E14" s="14">
        <f>'2018'!N14</f>
        <v>6000</v>
      </c>
      <c r="F14" s="14">
        <f>'2019'!N14</f>
        <v>6000</v>
      </c>
      <c r="G14" s="14">
        <f>'2020'!N14</f>
        <v>6000</v>
      </c>
      <c r="H14" s="14">
        <f>'2021'!N14</f>
        <v>6000</v>
      </c>
      <c r="I14" s="14">
        <f>'2022'!N14</f>
        <v>5500</v>
      </c>
      <c r="J14" s="14">
        <f>'2023'!N14</f>
        <v>5500</v>
      </c>
      <c r="K14" s="14">
        <f>'2024'!N14</f>
        <v>6000</v>
      </c>
      <c r="L14" s="14">
        <f>'2025'!N14</f>
        <v>6000</v>
      </c>
      <c r="M14" s="16">
        <f>'2026'!N14</f>
        <v>2500</v>
      </c>
    </row>
    <row r="15" spans="1:13" ht="22.5" customHeight="1">
      <c r="A15" s="2" t="s">
        <v>25</v>
      </c>
      <c r="B15" s="14">
        <f t="shared" si="0"/>
        <v>9000</v>
      </c>
      <c r="C15" s="14">
        <f>'2016'!H15</f>
        <v>3000</v>
      </c>
      <c r="D15" s="14">
        <f>'2017'!N15</f>
        <v>6000</v>
      </c>
      <c r="E15" s="14">
        <f>'2018'!N15</f>
        <v>0</v>
      </c>
      <c r="F15" s="14">
        <f>'2019'!N15</f>
        <v>0</v>
      </c>
      <c r="G15" s="14">
        <f>'2020'!N15</f>
        <v>0</v>
      </c>
      <c r="H15" s="14">
        <f>'2021'!N15</f>
        <v>0</v>
      </c>
      <c r="I15" s="14">
        <f>'2022'!N15</f>
        <v>0</v>
      </c>
      <c r="J15" s="14">
        <f>'2023'!N15</f>
        <v>0</v>
      </c>
      <c r="K15" s="14">
        <f>'2024'!N15</f>
        <v>0</v>
      </c>
      <c r="L15" s="14">
        <f>'2025'!N15</f>
        <v>0</v>
      </c>
      <c r="M15" s="16">
        <f>'2026'!N15</f>
        <v>0</v>
      </c>
    </row>
    <row r="16" spans="1:13" ht="22.5" customHeight="1">
      <c r="A16" s="2" t="s">
        <v>26</v>
      </c>
      <c r="B16" s="14">
        <f t="shared" si="0"/>
        <v>48500</v>
      </c>
      <c r="C16" s="14">
        <f>'2016'!H16</f>
        <v>3500</v>
      </c>
      <c r="D16" s="14">
        <f>'2017'!N16</f>
        <v>6000</v>
      </c>
      <c r="E16" s="14">
        <f>'2018'!N16</f>
        <v>4500</v>
      </c>
      <c r="F16" s="14">
        <f>'2019'!N16</f>
        <v>0</v>
      </c>
      <c r="G16" s="14">
        <f>'2020'!N16</f>
        <v>4500</v>
      </c>
      <c r="H16" s="14">
        <f>'2021'!N16</f>
        <v>6000</v>
      </c>
      <c r="I16" s="14">
        <f>'2022'!N16</f>
        <v>5500</v>
      </c>
      <c r="J16" s="14">
        <f>'2023'!N16</f>
        <v>6000</v>
      </c>
      <c r="K16" s="14">
        <f>'2024'!N16</f>
        <v>4000</v>
      </c>
      <c r="L16" s="14">
        <f>'2025'!N16</f>
        <v>6000</v>
      </c>
      <c r="M16" s="16">
        <f>'2026'!N16</f>
        <v>2500</v>
      </c>
    </row>
    <row r="17" spans="1:13" ht="22.5" customHeight="1">
      <c r="A17" s="2" t="s">
        <v>28</v>
      </c>
      <c r="B17" s="14">
        <f t="shared" si="0"/>
        <v>38500</v>
      </c>
      <c r="C17" s="14">
        <f>'2016'!H17</f>
        <v>3500</v>
      </c>
      <c r="D17" s="14">
        <f>'2017'!N17</f>
        <v>2500</v>
      </c>
      <c r="E17" s="14">
        <f>'2018'!N17</f>
        <v>9500</v>
      </c>
      <c r="F17" s="14">
        <f>'2019'!N17</f>
        <v>5000</v>
      </c>
      <c r="G17" s="14">
        <f>'2020'!N17</f>
        <v>7000</v>
      </c>
      <c r="H17" s="14">
        <f>'2021'!N17</f>
        <v>4400</v>
      </c>
      <c r="I17" s="14">
        <f>'2022'!N17</f>
        <v>4600</v>
      </c>
      <c r="J17" s="14">
        <f>'2023'!N17</f>
        <v>0</v>
      </c>
      <c r="K17" s="14">
        <f>'2024'!N17</f>
        <v>0</v>
      </c>
      <c r="L17" s="14">
        <f>'2025'!N17</f>
        <v>0</v>
      </c>
      <c r="M17" s="16">
        <f>'2026'!N17</f>
        <v>2000</v>
      </c>
    </row>
    <row r="18" spans="1:13" ht="22.5" customHeight="1">
      <c r="A18" s="2" t="s">
        <v>29</v>
      </c>
      <c r="B18" s="14">
        <f t="shared" si="0"/>
        <v>47500</v>
      </c>
      <c r="C18" s="14">
        <f>'2016'!H18</f>
        <v>4000</v>
      </c>
      <c r="D18" s="14">
        <f>'2017'!N18</f>
        <v>5500</v>
      </c>
      <c r="E18" s="14">
        <f>'2018'!N18</f>
        <v>5500</v>
      </c>
      <c r="F18" s="14">
        <f>'2019'!N18</f>
        <v>0</v>
      </c>
      <c r="G18" s="14">
        <f>'2020'!N18</f>
        <v>5000</v>
      </c>
      <c r="H18" s="14">
        <f>'2021'!N18</f>
        <v>6000</v>
      </c>
      <c r="I18" s="14">
        <f>'2022'!N18</f>
        <v>5000</v>
      </c>
      <c r="J18" s="14">
        <f>'2023'!N18</f>
        <v>5000</v>
      </c>
      <c r="K18" s="14">
        <f>'2024'!N18</f>
        <v>4000</v>
      </c>
      <c r="L18" s="14">
        <f>'2025'!N18</f>
        <v>5000</v>
      </c>
      <c r="M18" s="16">
        <f>'2026'!N18</f>
        <v>2500</v>
      </c>
    </row>
    <row r="19" spans="1:13" ht="22.5" customHeight="1">
      <c r="A19" s="2" t="s">
        <v>31</v>
      </c>
      <c r="B19" s="14">
        <f t="shared" si="0"/>
        <v>37500</v>
      </c>
      <c r="C19" s="14">
        <f>'2016'!H19</f>
        <v>3500</v>
      </c>
      <c r="D19" s="14">
        <f>'2017'!N19</f>
        <v>6000</v>
      </c>
      <c r="E19" s="14">
        <f>'2018'!N19</f>
        <v>5000</v>
      </c>
      <c r="F19" s="14">
        <f>'2019'!N19</f>
        <v>0</v>
      </c>
      <c r="G19" s="14">
        <f>'2020'!N19</f>
        <v>8000</v>
      </c>
      <c r="H19" s="14">
        <f>'2021'!N19</f>
        <v>6000</v>
      </c>
      <c r="I19" s="14">
        <f>'2022'!N19</f>
        <v>3000</v>
      </c>
      <c r="J19" s="14">
        <f>'2023'!N19</f>
        <v>0</v>
      </c>
      <c r="K19" s="14">
        <f>'2024'!N19</f>
        <v>1000</v>
      </c>
      <c r="L19" s="14">
        <f>'2025'!N19</f>
        <v>5000</v>
      </c>
      <c r="M19" s="16">
        <f>'2026'!N19</f>
        <v>0</v>
      </c>
    </row>
    <row r="20" spans="1:13" ht="22.5" customHeight="1">
      <c r="A20" s="2" t="s">
        <v>33</v>
      </c>
      <c r="B20" s="14">
        <f t="shared" si="0"/>
        <v>39100</v>
      </c>
      <c r="C20" s="14">
        <f>'2016'!H20</f>
        <v>0</v>
      </c>
      <c r="D20" s="14">
        <f>'2017'!N20</f>
        <v>0</v>
      </c>
      <c r="E20" s="14">
        <f>'2018'!N20</f>
        <v>0</v>
      </c>
      <c r="F20" s="14">
        <f>'2019'!N20</f>
        <v>0</v>
      </c>
      <c r="G20" s="14">
        <f>'2020'!N20</f>
        <v>10000</v>
      </c>
      <c r="H20" s="14">
        <f>'2021'!N20</f>
        <v>8000</v>
      </c>
      <c r="I20" s="14">
        <f>'2022'!N20</f>
        <v>5500</v>
      </c>
      <c r="J20" s="14">
        <f>'2023'!N20</f>
        <v>5000</v>
      </c>
      <c r="K20" s="14">
        <f>'2024'!N20</f>
        <v>4000</v>
      </c>
      <c r="L20" s="14">
        <f>'2025'!N20</f>
        <v>4200</v>
      </c>
      <c r="M20" s="16">
        <f>'2026'!N20</f>
        <v>2400</v>
      </c>
    </row>
    <row r="21" spans="1:13" ht="22.5" customHeight="1">
      <c r="A21" s="2" t="s">
        <v>67</v>
      </c>
      <c r="B21" s="14">
        <f t="shared" si="0"/>
        <v>6500</v>
      </c>
      <c r="C21" s="14">
        <f>'2016'!H21</f>
        <v>0</v>
      </c>
      <c r="D21" s="14">
        <f>'2017'!N21</f>
        <v>0</v>
      </c>
      <c r="E21" s="14">
        <f>'2018'!N21</f>
        <v>0</v>
      </c>
      <c r="F21" s="14">
        <f>'2019'!N21</f>
        <v>0</v>
      </c>
      <c r="G21" s="14">
        <f>'2020'!N21</f>
        <v>4500</v>
      </c>
      <c r="H21" s="14">
        <f>'2021'!N21</f>
        <v>2000</v>
      </c>
      <c r="I21" s="14">
        <f>'2022'!N21</f>
        <v>0</v>
      </c>
      <c r="J21" s="14">
        <f>'2023'!N21</f>
        <v>0</v>
      </c>
      <c r="K21" s="14">
        <f>'2024'!N21</f>
        <v>0</v>
      </c>
      <c r="L21" s="14">
        <f>'2025'!N21</f>
        <v>0</v>
      </c>
      <c r="M21" s="16">
        <f>'2026'!N21</f>
        <v>0</v>
      </c>
    </row>
    <row r="22" spans="1:13" ht="22.5" customHeight="1">
      <c r="A22" s="2" t="s">
        <v>37</v>
      </c>
      <c r="B22" s="14">
        <f t="shared" si="0"/>
        <v>28905</v>
      </c>
      <c r="C22" s="14">
        <f>'2016'!H22</f>
        <v>0</v>
      </c>
      <c r="D22" s="14">
        <f>'2017'!N22</f>
        <v>0</v>
      </c>
      <c r="E22" s="14">
        <f>'2018'!N22</f>
        <v>0</v>
      </c>
      <c r="F22" s="14">
        <f>'2019'!N22</f>
        <v>0</v>
      </c>
      <c r="G22" s="14">
        <f>'2020'!N22</f>
        <v>3005</v>
      </c>
      <c r="H22" s="14">
        <f>'2021'!N22</f>
        <v>5500</v>
      </c>
      <c r="I22" s="14">
        <f>'2022'!N22</f>
        <v>5000</v>
      </c>
      <c r="J22" s="14">
        <f>'2023'!N22</f>
        <v>3000</v>
      </c>
      <c r="K22" s="14">
        <f>'2024'!N22</f>
        <v>2500</v>
      </c>
      <c r="L22" s="14">
        <f>'2025'!N22</f>
        <v>7400</v>
      </c>
      <c r="M22" s="16">
        <f>'2026'!N22</f>
        <v>2500</v>
      </c>
    </row>
    <row r="23" spans="1:13" ht="22.5" customHeight="1">
      <c r="A23" s="2" t="s">
        <v>39</v>
      </c>
      <c r="B23" s="14">
        <f t="shared" si="0"/>
        <v>25001</v>
      </c>
      <c r="C23" s="14">
        <f>'2016'!H23</f>
        <v>0</v>
      </c>
      <c r="D23" s="14">
        <f>'2017'!N23</f>
        <v>0</v>
      </c>
      <c r="E23" s="14">
        <f>'2018'!N23</f>
        <v>0</v>
      </c>
      <c r="F23" s="14">
        <f>'2019'!N23</f>
        <v>0</v>
      </c>
      <c r="G23" s="14">
        <f>'2020'!N23</f>
        <v>1000</v>
      </c>
      <c r="H23" s="14">
        <f>'2021'!N23</f>
        <v>5000</v>
      </c>
      <c r="I23" s="14">
        <f>'2022'!N23</f>
        <v>4000</v>
      </c>
      <c r="J23" s="14">
        <f>'2023'!N23</f>
        <v>2500</v>
      </c>
      <c r="K23" s="14">
        <f>'2024'!N23</f>
        <v>5000</v>
      </c>
      <c r="L23" s="14">
        <f>'2025'!N23</f>
        <v>5001</v>
      </c>
      <c r="M23" s="16">
        <f>'2026'!N23</f>
        <v>2500</v>
      </c>
    </row>
    <row r="24" spans="1:13" ht="22.5" customHeight="1">
      <c r="A24" s="17" t="s">
        <v>68</v>
      </c>
      <c r="B24" s="14">
        <f t="shared" si="0"/>
        <v>104038</v>
      </c>
      <c r="C24" s="14">
        <f>'2016'!H24</f>
        <v>704</v>
      </c>
      <c r="D24" s="14">
        <f>'2017'!N24</f>
        <v>3473</v>
      </c>
      <c r="E24" s="14">
        <f>'2018'!N24</f>
        <v>19988</v>
      </c>
      <c r="F24" s="14">
        <f>'2019'!N24</f>
        <v>14203</v>
      </c>
      <c r="G24" s="14">
        <f>'2020'!N24</f>
        <v>11872</v>
      </c>
      <c r="H24" s="14">
        <f>'2021'!N24</f>
        <v>21131</v>
      </c>
      <c r="I24" s="14">
        <f>'2022'!N20</f>
        <v>5500</v>
      </c>
      <c r="J24" s="14">
        <f>'2023'!N24</f>
        <v>3000</v>
      </c>
      <c r="K24" s="14">
        <f>'2024'!N24</f>
        <v>8600</v>
      </c>
      <c r="L24" s="14">
        <f>'2025'!N24</f>
        <v>13264</v>
      </c>
      <c r="M24" s="16">
        <f>'2026'!N24</f>
        <v>2303</v>
      </c>
    </row>
    <row r="25" spans="1:13" ht="22.5" customHeight="1">
      <c r="A25" s="18" t="s">
        <v>55</v>
      </c>
      <c r="B25" s="14">
        <f t="shared" ref="B25:L25" si="1">SUM(B2:B24)</f>
        <v>984355</v>
      </c>
      <c r="C25" s="14">
        <f t="shared" si="1"/>
        <v>74704</v>
      </c>
      <c r="D25" s="14">
        <f t="shared" si="1"/>
        <v>111023</v>
      </c>
      <c r="E25" s="14">
        <f t="shared" si="1"/>
        <v>113988</v>
      </c>
      <c r="F25" s="14">
        <f t="shared" si="1"/>
        <v>67203</v>
      </c>
      <c r="G25" s="14">
        <f t="shared" si="1"/>
        <v>121277</v>
      </c>
      <c r="H25" s="14">
        <f t="shared" si="1"/>
        <v>120831</v>
      </c>
      <c r="I25" s="14">
        <f t="shared" si="1"/>
        <v>81100</v>
      </c>
      <c r="J25" s="14">
        <f t="shared" si="1"/>
        <v>63500</v>
      </c>
      <c r="K25" s="14">
        <f t="shared" si="1"/>
        <v>74400</v>
      </c>
      <c r="L25" s="14">
        <f t="shared" si="1"/>
        <v>118126</v>
      </c>
      <c r="M25" s="19">
        <f>'2026'!N26</f>
        <v>38203</v>
      </c>
    </row>
    <row r="26" spans="1:13" ht="13">
      <c r="A26" s="20"/>
      <c r="B26" s="20"/>
      <c r="C26" s="20"/>
      <c r="D26" s="20"/>
      <c r="E26" s="20"/>
      <c r="F26" s="20"/>
      <c r="G26" s="20"/>
      <c r="H26" s="20"/>
      <c r="I26" s="20"/>
      <c r="J26" s="20"/>
      <c r="K26" s="20"/>
      <c r="L26" s="20"/>
    </row>
  </sheetData>
  <conditionalFormatting sqref="M2:M25">
    <cfRule type="colorScale" priority="1">
      <colorScale>
        <cfvo type="min"/>
        <cfvo type="max"/>
        <color rgb="FFFFFFFF"/>
        <color rgb="FF57BB8A"/>
      </colorScale>
    </cfRule>
  </conditionalFormatting>
  <dataValidations count="1">
    <dataValidation type="custom" allowBlank="1" showDropDown="1" sqref="B2:M25" xr:uid="{00000000-0002-0000-0200-000000000000}">
      <formula1>AND(ISNUMBER(B2),(NOT(OR(NOT(ISERROR(DATEVALUE(B2))), AND(ISNUMBER(B2), LEFT(CELL("format", B2))="D")))))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101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9" customWidth="1"/>
    <col min="2" max="2" width="19.33203125" customWidth="1"/>
    <col min="3" max="3" width="11.33203125" customWidth="1"/>
    <col min="4" max="4" width="13.6640625" customWidth="1"/>
    <col min="5" max="5" width="12.83203125" customWidth="1"/>
    <col min="6" max="6" width="12.1640625" customWidth="1"/>
    <col min="7" max="7" width="11.6640625" customWidth="1"/>
    <col min="8" max="8" width="13.5" customWidth="1"/>
    <col min="9" max="9" width="15.6640625" customWidth="1"/>
    <col min="10" max="10" width="14.83203125" customWidth="1"/>
    <col min="11" max="12" width="15.6640625" customWidth="1"/>
    <col min="13" max="13" width="11.33203125" customWidth="1"/>
    <col min="14" max="14" width="12.1640625" customWidth="1"/>
    <col min="15" max="15" width="36.83203125" customWidth="1"/>
  </cols>
  <sheetData>
    <row r="1" spans="1:17" ht="22.5" customHeight="1">
      <c r="A1" s="1" t="s">
        <v>69</v>
      </c>
      <c r="B1" s="1" t="s">
        <v>54</v>
      </c>
      <c r="C1" s="1" t="s">
        <v>70</v>
      </c>
      <c r="D1" s="1" t="s">
        <v>71</v>
      </c>
      <c r="E1" s="21" t="s">
        <v>72</v>
      </c>
      <c r="F1" s="21" t="s">
        <v>73</v>
      </c>
      <c r="G1" s="1" t="s">
        <v>74</v>
      </c>
      <c r="H1" s="1" t="s">
        <v>75</v>
      </c>
      <c r="I1" s="22" t="s">
        <v>76</v>
      </c>
      <c r="J1" s="1" t="s">
        <v>77</v>
      </c>
      <c r="K1" s="22" t="s">
        <v>78</v>
      </c>
      <c r="L1" s="1" t="s">
        <v>79</v>
      </c>
      <c r="M1" s="1" t="s">
        <v>80</v>
      </c>
      <c r="N1" s="1" t="s">
        <v>81</v>
      </c>
      <c r="O1" s="1" t="s">
        <v>82</v>
      </c>
      <c r="P1" s="23" t="s">
        <v>83</v>
      </c>
      <c r="Q1" s="23">
        <f>SUMIFS(M2:M103, H2:H103, "&lt;&gt;Write Off")</f>
        <v>550000</v>
      </c>
    </row>
    <row r="2" spans="1:17" ht="22.5" customHeight="1">
      <c r="A2" s="24">
        <v>1</v>
      </c>
      <c r="B2" s="24" t="s">
        <v>9</v>
      </c>
      <c r="C2" s="24">
        <v>80000</v>
      </c>
      <c r="D2" s="24" t="s">
        <v>84</v>
      </c>
      <c r="E2" s="25">
        <v>44927</v>
      </c>
      <c r="F2" s="25">
        <v>45661</v>
      </c>
      <c r="G2" s="26" t="str">
        <f t="shared" ref="G2:G11" ca="1" si="0">DATEDIF(E2, IF(F2="", TODAY(), F2), "Y") &amp; "Y:" &amp; DATEDIF(E2, IF(F2="", TODAY(), F2), "YM") &amp; "M:" &amp; DATEDIF(E2, IF(F2="", TODAY(), F2), "MD") &amp; "D"</f>
        <v>2Y:0M:3D</v>
      </c>
      <c r="H2" s="24" t="s">
        <v>85</v>
      </c>
      <c r="I2" s="24"/>
      <c r="J2" s="24">
        <v>0</v>
      </c>
      <c r="K2" s="24">
        <f t="shared" ref="K2:K84" si="1">I2-J2</f>
        <v>0</v>
      </c>
      <c r="L2" s="24">
        <v>10000</v>
      </c>
      <c r="M2" s="24">
        <v>0</v>
      </c>
      <c r="N2" s="24">
        <v>70000</v>
      </c>
      <c r="O2" s="24" t="s">
        <v>86</v>
      </c>
      <c r="P2" s="23" t="s">
        <v>87</v>
      </c>
      <c r="Q2" s="23">
        <f>SUMIFS(M2:M103, H2:H103, "Write Off")</f>
        <v>0</v>
      </c>
    </row>
    <row r="3" spans="1:17" ht="22.5" customHeight="1">
      <c r="A3" s="24">
        <v>2</v>
      </c>
      <c r="B3" s="24" t="s">
        <v>22</v>
      </c>
      <c r="C3" s="24">
        <v>100000</v>
      </c>
      <c r="D3" s="24" t="s">
        <v>84</v>
      </c>
      <c r="E3" s="25">
        <v>45026</v>
      </c>
      <c r="F3" s="25">
        <v>45739</v>
      </c>
      <c r="G3" s="26" t="str">
        <f t="shared" ca="1" si="0"/>
        <v>1Y:11M:13D</v>
      </c>
      <c r="H3" s="24" t="s">
        <v>88</v>
      </c>
      <c r="K3" s="24">
        <f t="shared" si="1"/>
        <v>0</v>
      </c>
      <c r="L3" s="24">
        <v>100000</v>
      </c>
      <c r="M3" s="24">
        <f t="shared" ref="M3:M5" si="2">C3-L3</f>
        <v>0</v>
      </c>
      <c r="O3" s="24" t="s">
        <v>89</v>
      </c>
      <c r="P3" s="23" t="s">
        <v>55</v>
      </c>
      <c r="Q3" s="23">
        <f>SUM(Q1:Q2)</f>
        <v>550000</v>
      </c>
    </row>
    <row r="4" spans="1:17" ht="22.5" customHeight="1">
      <c r="A4" s="24">
        <v>3</v>
      </c>
      <c r="B4" s="24" t="s">
        <v>39</v>
      </c>
      <c r="C4" s="24">
        <v>100000</v>
      </c>
      <c r="D4" s="24" t="s">
        <v>90</v>
      </c>
      <c r="E4" s="25">
        <v>44995</v>
      </c>
      <c r="F4" s="25"/>
      <c r="G4" s="26" t="str">
        <f t="shared" ca="1" si="0"/>
        <v>3Y:2M:13D</v>
      </c>
      <c r="H4" s="24" t="s">
        <v>88</v>
      </c>
      <c r="K4" s="24">
        <f t="shared" si="1"/>
        <v>0</v>
      </c>
      <c r="L4" s="24">
        <v>100000</v>
      </c>
      <c r="M4" s="24">
        <f t="shared" si="2"/>
        <v>0</v>
      </c>
      <c r="O4" s="24" t="s">
        <v>91</v>
      </c>
    </row>
    <row r="5" spans="1:17" ht="22.5" customHeight="1">
      <c r="A5" s="24">
        <v>4</v>
      </c>
      <c r="B5" s="24" t="s">
        <v>16</v>
      </c>
      <c r="C5" s="24">
        <v>100000</v>
      </c>
      <c r="D5" s="24" t="s">
        <v>84</v>
      </c>
      <c r="E5" s="25"/>
      <c r="F5" s="25"/>
      <c r="G5" s="26" t="str">
        <f t="shared" ca="1" si="0"/>
        <v>126Y:4M:23D</v>
      </c>
      <c r="H5" s="24" t="s">
        <v>88</v>
      </c>
      <c r="K5" s="24">
        <f t="shared" si="1"/>
        <v>0</v>
      </c>
      <c r="L5" s="24">
        <v>100000</v>
      </c>
      <c r="M5" s="24">
        <f t="shared" si="2"/>
        <v>0</v>
      </c>
      <c r="O5" s="24" t="s">
        <v>92</v>
      </c>
    </row>
    <row r="6" spans="1:17" ht="22.5" customHeight="1">
      <c r="A6" s="24">
        <v>5</v>
      </c>
      <c r="B6" s="24" t="s">
        <v>18</v>
      </c>
      <c r="C6" s="24">
        <v>100000</v>
      </c>
      <c r="D6" s="24" t="s">
        <v>84</v>
      </c>
      <c r="E6" s="25">
        <v>45639</v>
      </c>
      <c r="F6" s="25">
        <v>45662</v>
      </c>
      <c r="G6" s="26" t="str">
        <f t="shared" ca="1" si="0"/>
        <v>0Y:0M:23D</v>
      </c>
      <c r="H6" s="24" t="s">
        <v>88</v>
      </c>
      <c r="I6" s="24">
        <f t="shared" ref="I6:I7" ca="1" si="3">(VALUE(LEFT(G6,FIND("Y",G6)-1))*12 + VALUE(MID(G6,FIND(":",G6)+1,FIND("M",G6)-FIND(":",G6)-1))) * 650</f>
        <v>0</v>
      </c>
      <c r="J6" s="24">
        <v>650</v>
      </c>
      <c r="K6" s="24">
        <f t="shared" ca="1" si="1"/>
        <v>-650</v>
      </c>
      <c r="L6" s="24">
        <v>100000</v>
      </c>
      <c r="M6" s="24">
        <v>0</v>
      </c>
      <c r="N6" s="24"/>
      <c r="O6" s="24" t="s">
        <v>93</v>
      </c>
    </row>
    <row r="7" spans="1:17" ht="22.5" customHeight="1">
      <c r="A7" s="24">
        <v>6</v>
      </c>
      <c r="B7" s="24" t="s">
        <v>14</v>
      </c>
      <c r="C7" s="24">
        <v>100000</v>
      </c>
      <c r="D7" s="24" t="s">
        <v>84</v>
      </c>
      <c r="E7" s="25">
        <v>45737</v>
      </c>
      <c r="F7" s="25"/>
      <c r="G7" s="26" t="str">
        <f t="shared" ca="1" si="0"/>
        <v>1Y:2M:2D</v>
      </c>
      <c r="H7" s="24" t="s">
        <v>94</v>
      </c>
      <c r="I7" s="24">
        <f t="shared" ca="1" si="3"/>
        <v>9100</v>
      </c>
      <c r="J7" s="24">
        <v>0</v>
      </c>
      <c r="K7" s="24">
        <f t="shared" ca="1" si="1"/>
        <v>9100</v>
      </c>
      <c r="L7" s="24">
        <v>0</v>
      </c>
      <c r="M7" s="24">
        <f t="shared" ref="M7:M8" si="4">C7-L7</f>
        <v>100000</v>
      </c>
      <c r="O7" s="24" t="s">
        <v>95</v>
      </c>
    </row>
    <row r="8" spans="1:17" ht="22.5" customHeight="1">
      <c r="A8" s="24">
        <v>7</v>
      </c>
      <c r="B8" s="24" t="s">
        <v>5</v>
      </c>
      <c r="C8" s="24">
        <v>150000</v>
      </c>
      <c r="D8" s="24" t="s">
        <v>90</v>
      </c>
      <c r="E8" s="25">
        <v>45689</v>
      </c>
      <c r="F8" s="25"/>
      <c r="G8" s="26" t="str">
        <f t="shared" ca="1" si="0"/>
        <v>1Y:3M:22D</v>
      </c>
      <c r="H8" s="24" t="s">
        <v>94</v>
      </c>
      <c r="I8" s="24">
        <f ca="1">(VALUE(LEFT(G8,FIND("Y",G8)-1))*12 + VALUE(MID(G8,FIND(":",G8)+1,FIND("M",G8)-FIND(":",G8)-1)) - 12) * 650</f>
        <v>1950</v>
      </c>
      <c r="J8" s="24">
        <f>1300</f>
        <v>1300</v>
      </c>
      <c r="K8" s="24">
        <f t="shared" ca="1" si="1"/>
        <v>650</v>
      </c>
      <c r="L8" s="24">
        <v>0</v>
      </c>
      <c r="M8" s="24">
        <f t="shared" si="4"/>
        <v>150000</v>
      </c>
    </row>
    <row r="9" spans="1:17" ht="22.5" customHeight="1">
      <c r="A9" s="24">
        <v>8</v>
      </c>
      <c r="B9" s="24" t="s">
        <v>12</v>
      </c>
      <c r="C9" s="24">
        <v>100000</v>
      </c>
      <c r="D9" s="24" t="s">
        <v>84</v>
      </c>
      <c r="E9" s="25">
        <v>45776</v>
      </c>
      <c r="F9" s="25"/>
      <c r="G9" s="26" t="str">
        <f t="shared" ca="1" si="0"/>
        <v>1Y:0M:24D</v>
      </c>
      <c r="H9" s="24" t="s">
        <v>94</v>
      </c>
      <c r="I9" s="24">
        <f t="shared" ref="I9:I11" ca="1" si="5">(VALUE(LEFT(G9,FIND("Y",G9)-1))*12 + VALUE(MID(G9,FIND(":",G9)+1,FIND("M",G9)-FIND(":",G9)-1))) * 650</f>
        <v>7800</v>
      </c>
      <c r="J9" s="24">
        <f>650+650+650+650+650+650+650+650+650+650+650+650</f>
        <v>7800</v>
      </c>
      <c r="K9" s="24">
        <f t="shared" ca="1" si="1"/>
        <v>0</v>
      </c>
      <c r="L9" s="24">
        <v>0</v>
      </c>
      <c r="M9" s="24">
        <v>100000</v>
      </c>
      <c r="N9" s="24"/>
      <c r="O9" s="24"/>
    </row>
    <row r="10" spans="1:17" ht="22.5" customHeight="1">
      <c r="A10" s="24">
        <v>9</v>
      </c>
      <c r="B10" s="24" t="s">
        <v>12</v>
      </c>
      <c r="C10" s="24">
        <v>100000</v>
      </c>
      <c r="D10" s="24" t="s">
        <v>84</v>
      </c>
      <c r="E10" s="25">
        <v>45721</v>
      </c>
      <c r="F10" s="25"/>
      <c r="G10" s="26" t="str">
        <f t="shared" ca="1" si="0"/>
        <v>1Y:2M:18D</v>
      </c>
      <c r="H10" s="24" t="s">
        <v>94</v>
      </c>
      <c r="I10" s="24">
        <f t="shared" ca="1" si="5"/>
        <v>9100</v>
      </c>
      <c r="J10" s="24">
        <f>650+650+650+650+650+650+650+650+650+650+650+650+650</f>
        <v>8450</v>
      </c>
      <c r="K10" s="24">
        <f t="shared" ca="1" si="1"/>
        <v>650</v>
      </c>
      <c r="L10" s="24">
        <v>0</v>
      </c>
      <c r="M10" s="24">
        <v>100000</v>
      </c>
      <c r="N10" s="24"/>
      <c r="O10" s="24" t="s">
        <v>96</v>
      </c>
    </row>
    <row r="11" spans="1:17" ht="22.5" customHeight="1">
      <c r="A11" s="24">
        <v>10</v>
      </c>
      <c r="B11" s="24" t="s">
        <v>28</v>
      </c>
      <c r="C11" s="24">
        <v>100000</v>
      </c>
      <c r="D11" s="24" t="s">
        <v>84</v>
      </c>
      <c r="E11" s="25">
        <v>45940</v>
      </c>
      <c r="F11" s="25"/>
      <c r="G11" s="26" t="str">
        <f t="shared" ca="1" si="0"/>
        <v>0Y:7M:13D</v>
      </c>
      <c r="H11" s="24" t="s">
        <v>94</v>
      </c>
      <c r="I11" s="24">
        <f t="shared" ca="1" si="5"/>
        <v>4550</v>
      </c>
      <c r="J11" s="24">
        <f>800+650+650+650+650+650</f>
        <v>4050</v>
      </c>
      <c r="K11" s="24">
        <f t="shared" ca="1" si="1"/>
        <v>500</v>
      </c>
      <c r="L11" s="24">
        <v>0</v>
      </c>
      <c r="M11" s="24">
        <v>100000</v>
      </c>
      <c r="N11" s="24"/>
      <c r="O11" s="24" t="s">
        <v>97</v>
      </c>
    </row>
    <row r="12" spans="1:17" ht="22.5" customHeight="1">
      <c r="A12" s="24">
        <v>11</v>
      </c>
      <c r="E12" s="25"/>
      <c r="F12" s="25"/>
      <c r="G12" s="26"/>
      <c r="H12" s="24"/>
      <c r="K12" s="24">
        <f t="shared" si="1"/>
        <v>0</v>
      </c>
    </row>
    <row r="13" spans="1:17" ht="22.5" customHeight="1">
      <c r="A13" s="24">
        <v>12</v>
      </c>
      <c r="E13" s="25"/>
      <c r="F13" s="25"/>
      <c r="G13" s="26"/>
      <c r="H13" s="24"/>
      <c r="K13" s="24">
        <f t="shared" si="1"/>
        <v>0</v>
      </c>
    </row>
    <row r="14" spans="1:17" ht="22.5" customHeight="1">
      <c r="A14" s="24">
        <v>13</v>
      </c>
      <c r="E14" s="25"/>
      <c r="F14" s="25"/>
      <c r="G14" s="26"/>
      <c r="H14" s="24"/>
      <c r="K14" s="24">
        <f t="shared" si="1"/>
        <v>0</v>
      </c>
    </row>
    <row r="15" spans="1:17" ht="22.5" customHeight="1">
      <c r="A15" s="24">
        <v>14</v>
      </c>
      <c r="E15" s="25"/>
      <c r="F15" s="25"/>
      <c r="G15" s="26"/>
      <c r="H15" s="24"/>
      <c r="K15" s="24">
        <f t="shared" si="1"/>
        <v>0</v>
      </c>
    </row>
    <row r="16" spans="1:17" ht="22.5" customHeight="1">
      <c r="E16" s="25"/>
      <c r="F16" s="25"/>
      <c r="G16" s="26"/>
      <c r="H16" s="24"/>
      <c r="K16" s="24">
        <f t="shared" si="1"/>
        <v>0</v>
      </c>
    </row>
    <row r="17" spans="1:15" ht="22.5" customHeight="1">
      <c r="E17" s="25"/>
      <c r="F17" s="25"/>
      <c r="G17" s="26"/>
      <c r="H17" s="24"/>
      <c r="K17" s="24">
        <f t="shared" si="1"/>
        <v>0</v>
      </c>
    </row>
    <row r="18" spans="1:15" ht="22.5" customHeight="1">
      <c r="E18" s="25"/>
      <c r="F18" s="25"/>
      <c r="G18" s="26"/>
      <c r="H18" s="24"/>
      <c r="K18" s="24">
        <f t="shared" si="1"/>
        <v>0</v>
      </c>
    </row>
    <row r="19" spans="1:15" ht="22.5" customHeight="1">
      <c r="E19" s="25"/>
      <c r="F19" s="25"/>
      <c r="G19" s="26"/>
      <c r="H19" s="24"/>
      <c r="K19" s="24">
        <f t="shared" si="1"/>
        <v>0</v>
      </c>
    </row>
    <row r="20" spans="1:15" ht="22.5" customHeight="1">
      <c r="E20" s="25"/>
      <c r="F20" s="25"/>
      <c r="G20" s="26"/>
      <c r="H20" s="24"/>
      <c r="K20" s="24">
        <f t="shared" si="1"/>
        <v>0</v>
      </c>
    </row>
    <row r="21" spans="1:15" ht="22.5" customHeight="1">
      <c r="E21" s="25"/>
      <c r="F21" s="25"/>
      <c r="G21" s="26"/>
      <c r="H21" s="24"/>
      <c r="K21" s="24">
        <f t="shared" si="1"/>
        <v>0</v>
      </c>
    </row>
    <row r="22" spans="1:15" ht="22.5" customHeight="1">
      <c r="E22" s="25"/>
      <c r="F22" s="25"/>
      <c r="G22" s="26"/>
      <c r="H22" s="24"/>
      <c r="K22" s="24">
        <f t="shared" si="1"/>
        <v>0</v>
      </c>
    </row>
    <row r="23" spans="1:15" ht="22.5" customHeight="1">
      <c r="E23" s="25"/>
      <c r="F23" s="25"/>
      <c r="G23" s="26"/>
      <c r="H23" s="24"/>
      <c r="K23" s="24">
        <f t="shared" si="1"/>
        <v>0</v>
      </c>
    </row>
    <row r="24" spans="1:15" ht="22.5" customHeight="1">
      <c r="E24" s="25"/>
      <c r="F24" s="25"/>
      <c r="G24" s="26"/>
      <c r="H24" s="24"/>
      <c r="K24" s="24">
        <f t="shared" si="1"/>
        <v>0</v>
      </c>
    </row>
    <row r="25" spans="1:15" ht="22.5" customHeight="1">
      <c r="E25" s="25"/>
      <c r="F25" s="25"/>
      <c r="G25" s="26"/>
      <c r="H25" s="24"/>
      <c r="K25" s="24">
        <f t="shared" si="1"/>
        <v>0</v>
      </c>
    </row>
    <row r="26" spans="1:15" ht="22.5" customHeight="1">
      <c r="E26" s="25"/>
      <c r="F26" s="25"/>
      <c r="G26" s="26"/>
      <c r="H26" s="24"/>
      <c r="K26" s="24">
        <f t="shared" si="1"/>
        <v>0</v>
      </c>
    </row>
    <row r="27" spans="1:15" ht="22.5" customHeight="1">
      <c r="A27" s="24"/>
      <c r="B27" s="24"/>
      <c r="C27" s="24"/>
      <c r="D27" s="24"/>
      <c r="E27" s="25"/>
      <c r="F27" s="25"/>
      <c r="G27" s="26"/>
      <c r="H27" s="24"/>
      <c r="I27" s="24"/>
      <c r="J27" s="24"/>
      <c r="K27" s="24">
        <f t="shared" si="1"/>
        <v>0</v>
      </c>
      <c r="L27" s="24"/>
      <c r="M27" s="24"/>
      <c r="N27" s="24"/>
      <c r="O27" s="24"/>
    </row>
    <row r="28" spans="1:15" ht="22.5" customHeight="1">
      <c r="A28" s="24"/>
      <c r="B28" s="24"/>
      <c r="C28" s="24"/>
      <c r="D28" s="24"/>
      <c r="E28" s="25"/>
      <c r="F28" s="25"/>
      <c r="G28" s="26"/>
      <c r="H28" s="24"/>
      <c r="I28" s="24"/>
      <c r="J28" s="24"/>
      <c r="K28" s="24">
        <f t="shared" si="1"/>
        <v>0</v>
      </c>
      <c r="L28" s="24"/>
      <c r="M28" s="24"/>
      <c r="N28" s="24"/>
      <c r="O28" s="24"/>
    </row>
    <row r="29" spans="1:15" ht="22.5" customHeight="1">
      <c r="A29" s="24"/>
      <c r="B29" s="24"/>
      <c r="C29" s="24"/>
      <c r="D29" s="24"/>
      <c r="E29" s="25"/>
      <c r="F29" s="25"/>
      <c r="G29" s="26"/>
      <c r="H29" s="24"/>
      <c r="I29" s="24"/>
      <c r="J29" s="24"/>
      <c r="K29" s="24">
        <f t="shared" si="1"/>
        <v>0</v>
      </c>
      <c r="L29" s="24"/>
      <c r="M29" s="24"/>
      <c r="N29" s="24"/>
      <c r="O29" s="24"/>
    </row>
    <row r="30" spans="1:15" ht="22.5" customHeight="1">
      <c r="A30" s="24"/>
      <c r="B30" s="24"/>
      <c r="C30" s="24"/>
      <c r="D30" s="24"/>
      <c r="E30" s="25"/>
      <c r="F30" s="25"/>
      <c r="G30" s="26"/>
      <c r="H30" s="24"/>
      <c r="I30" s="24"/>
      <c r="J30" s="24"/>
      <c r="K30" s="24">
        <f t="shared" si="1"/>
        <v>0</v>
      </c>
      <c r="L30" s="24"/>
      <c r="M30" s="24"/>
      <c r="N30" s="24"/>
      <c r="O30" s="24"/>
    </row>
    <row r="31" spans="1:15" ht="22.5" customHeight="1">
      <c r="A31" s="24"/>
      <c r="B31" s="24"/>
      <c r="C31" s="24"/>
      <c r="D31" s="24"/>
      <c r="E31" s="25"/>
      <c r="F31" s="25"/>
      <c r="G31" s="26"/>
      <c r="H31" s="24"/>
      <c r="I31" s="24"/>
      <c r="J31" s="24"/>
      <c r="K31" s="24">
        <f t="shared" si="1"/>
        <v>0</v>
      </c>
      <c r="L31" s="24"/>
      <c r="M31" s="24"/>
      <c r="N31" s="24"/>
      <c r="O31" s="24"/>
    </row>
    <row r="32" spans="1:15" ht="22.5" customHeight="1">
      <c r="A32" s="24"/>
      <c r="B32" s="24"/>
      <c r="C32" s="24"/>
      <c r="D32" s="24"/>
      <c r="E32" s="25"/>
      <c r="F32" s="25"/>
      <c r="G32" s="26"/>
      <c r="H32" s="24"/>
      <c r="I32" s="24"/>
      <c r="J32" s="24"/>
      <c r="K32" s="24">
        <f t="shared" si="1"/>
        <v>0</v>
      </c>
      <c r="L32" s="24"/>
      <c r="M32" s="24"/>
      <c r="N32" s="24"/>
      <c r="O32" s="24"/>
    </row>
    <row r="33" spans="1:15" ht="22.5" customHeight="1">
      <c r="A33" s="24"/>
      <c r="B33" s="24"/>
      <c r="C33" s="24"/>
      <c r="D33" s="24"/>
      <c r="E33" s="25"/>
      <c r="F33" s="25"/>
      <c r="G33" s="26"/>
      <c r="H33" s="24"/>
      <c r="I33" s="24"/>
      <c r="J33" s="24"/>
      <c r="K33" s="24">
        <f t="shared" si="1"/>
        <v>0</v>
      </c>
      <c r="L33" s="24"/>
      <c r="M33" s="24"/>
      <c r="N33" s="24"/>
      <c r="O33" s="24"/>
    </row>
    <row r="34" spans="1:15" ht="22.5" customHeight="1">
      <c r="A34" s="24"/>
      <c r="B34" s="24"/>
      <c r="C34" s="24"/>
      <c r="D34" s="24"/>
      <c r="E34" s="25"/>
      <c r="F34" s="25"/>
      <c r="G34" s="26"/>
      <c r="H34" s="24"/>
      <c r="I34" s="24"/>
      <c r="J34" s="24"/>
      <c r="K34" s="24">
        <f t="shared" si="1"/>
        <v>0</v>
      </c>
      <c r="L34" s="24"/>
      <c r="M34" s="24"/>
      <c r="N34" s="24"/>
      <c r="O34" s="24"/>
    </row>
    <row r="35" spans="1:15" ht="22.5" customHeight="1">
      <c r="A35" s="24"/>
      <c r="B35" s="24"/>
      <c r="C35" s="24"/>
      <c r="D35" s="24"/>
      <c r="E35" s="25"/>
      <c r="F35" s="25"/>
      <c r="G35" s="26"/>
      <c r="H35" s="24"/>
      <c r="I35" s="24"/>
      <c r="J35" s="24"/>
      <c r="K35" s="24">
        <f t="shared" si="1"/>
        <v>0</v>
      </c>
      <c r="L35" s="24"/>
      <c r="M35" s="24"/>
      <c r="N35" s="24"/>
      <c r="O35" s="24"/>
    </row>
    <row r="36" spans="1:15" ht="22.5" customHeight="1">
      <c r="A36" s="24"/>
      <c r="B36" s="24"/>
      <c r="C36" s="24"/>
      <c r="D36" s="24"/>
      <c r="E36" s="25"/>
      <c r="F36" s="25"/>
      <c r="G36" s="26"/>
      <c r="H36" s="24"/>
      <c r="I36" s="24"/>
      <c r="J36" s="24"/>
      <c r="K36" s="24">
        <f t="shared" si="1"/>
        <v>0</v>
      </c>
      <c r="L36" s="24"/>
      <c r="M36" s="24"/>
      <c r="N36" s="24"/>
      <c r="O36" s="24"/>
    </row>
    <row r="37" spans="1:15" ht="22.5" customHeight="1">
      <c r="A37" s="24"/>
      <c r="B37" s="24"/>
      <c r="C37" s="24"/>
      <c r="D37" s="24"/>
      <c r="E37" s="25"/>
      <c r="F37" s="25"/>
      <c r="G37" s="26"/>
      <c r="H37" s="24"/>
      <c r="I37" s="24"/>
      <c r="J37" s="24"/>
      <c r="K37" s="24">
        <f t="shared" si="1"/>
        <v>0</v>
      </c>
      <c r="L37" s="24"/>
      <c r="M37" s="24"/>
      <c r="N37" s="24"/>
      <c r="O37" s="24"/>
    </row>
    <row r="38" spans="1:15" ht="22.5" customHeight="1">
      <c r="A38" s="24"/>
      <c r="B38" s="24"/>
      <c r="C38" s="24"/>
      <c r="D38" s="24"/>
      <c r="E38" s="25"/>
      <c r="F38" s="25"/>
      <c r="G38" s="26"/>
      <c r="H38" s="24"/>
      <c r="I38" s="24"/>
      <c r="J38" s="24"/>
      <c r="K38" s="24">
        <f t="shared" si="1"/>
        <v>0</v>
      </c>
      <c r="L38" s="24"/>
      <c r="M38" s="24"/>
      <c r="N38" s="24"/>
      <c r="O38" s="24"/>
    </row>
    <row r="39" spans="1:15" ht="22.5" customHeight="1">
      <c r="A39" s="24"/>
      <c r="B39" s="24"/>
      <c r="C39" s="24"/>
      <c r="D39" s="24"/>
      <c r="E39" s="25"/>
      <c r="F39" s="25"/>
      <c r="G39" s="26"/>
      <c r="H39" s="24"/>
      <c r="I39" s="24"/>
      <c r="J39" s="24"/>
      <c r="K39" s="24">
        <f t="shared" si="1"/>
        <v>0</v>
      </c>
      <c r="L39" s="24"/>
      <c r="M39" s="24"/>
      <c r="N39" s="24"/>
      <c r="O39" s="24"/>
    </row>
    <row r="40" spans="1:15" ht="22.5" customHeight="1">
      <c r="A40" s="24"/>
      <c r="B40" s="24"/>
      <c r="C40" s="24"/>
      <c r="D40" s="24"/>
      <c r="E40" s="25"/>
      <c r="F40" s="25"/>
      <c r="G40" s="26"/>
      <c r="H40" s="24"/>
      <c r="I40" s="24"/>
      <c r="J40" s="24"/>
      <c r="K40" s="24">
        <f t="shared" si="1"/>
        <v>0</v>
      </c>
      <c r="L40" s="24"/>
      <c r="M40" s="24"/>
      <c r="N40" s="24"/>
      <c r="O40" s="24"/>
    </row>
    <row r="41" spans="1:15" ht="22.5" customHeight="1">
      <c r="A41" s="24"/>
      <c r="B41" s="24"/>
      <c r="C41" s="24"/>
      <c r="D41" s="24"/>
      <c r="E41" s="25"/>
      <c r="F41" s="25"/>
      <c r="G41" s="26"/>
      <c r="H41" s="24"/>
      <c r="I41" s="24"/>
      <c r="J41" s="24"/>
      <c r="K41" s="24">
        <f t="shared" si="1"/>
        <v>0</v>
      </c>
      <c r="L41" s="24"/>
      <c r="M41" s="24"/>
      <c r="N41" s="24"/>
      <c r="O41" s="24"/>
    </row>
    <row r="42" spans="1:15" ht="22.5" customHeight="1">
      <c r="A42" s="24"/>
      <c r="B42" s="24"/>
      <c r="C42" s="24"/>
      <c r="D42" s="24"/>
      <c r="E42" s="25"/>
      <c r="F42" s="25"/>
      <c r="G42" s="26"/>
      <c r="H42" s="24"/>
      <c r="I42" s="24"/>
      <c r="J42" s="24"/>
      <c r="K42" s="24">
        <f t="shared" si="1"/>
        <v>0</v>
      </c>
      <c r="L42" s="24"/>
      <c r="M42" s="24"/>
      <c r="N42" s="24"/>
      <c r="O42" s="24"/>
    </row>
    <row r="43" spans="1:15" ht="22.5" customHeight="1">
      <c r="A43" s="24"/>
      <c r="B43" s="24"/>
      <c r="C43" s="24"/>
      <c r="D43" s="24"/>
      <c r="E43" s="25"/>
      <c r="F43" s="25"/>
      <c r="G43" s="26"/>
      <c r="H43" s="24"/>
      <c r="I43" s="24"/>
      <c r="J43" s="24"/>
      <c r="K43" s="24">
        <f t="shared" si="1"/>
        <v>0</v>
      </c>
      <c r="L43" s="24"/>
      <c r="M43" s="24"/>
      <c r="N43" s="24"/>
      <c r="O43" s="24"/>
    </row>
    <row r="44" spans="1:15" ht="22.5" customHeight="1">
      <c r="A44" s="24"/>
      <c r="B44" s="24"/>
      <c r="C44" s="24"/>
      <c r="D44" s="24"/>
      <c r="E44" s="25"/>
      <c r="F44" s="25"/>
      <c r="G44" s="26"/>
      <c r="H44" s="24"/>
      <c r="I44" s="24"/>
      <c r="J44" s="24"/>
      <c r="K44" s="24">
        <f t="shared" si="1"/>
        <v>0</v>
      </c>
      <c r="L44" s="24"/>
      <c r="M44" s="24"/>
      <c r="N44" s="24"/>
      <c r="O44" s="24"/>
    </row>
    <row r="45" spans="1:15" ht="22.5" customHeight="1">
      <c r="A45" s="24"/>
      <c r="B45" s="24"/>
      <c r="C45" s="24"/>
      <c r="D45" s="24"/>
      <c r="E45" s="25"/>
      <c r="F45" s="25"/>
      <c r="G45" s="26"/>
      <c r="H45" s="24"/>
      <c r="I45" s="24"/>
      <c r="J45" s="24"/>
      <c r="K45" s="24">
        <f t="shared" si="1"/>
        <v>0</v>
      </c>
      <c r="L45" s="24"/>
      <c r="M45" s="24"/>
      <c r="N45" s="24"/>
      <c r="O45" s="24"/>
    </row>
    <row r="46" spans="1:15" ht="22.5" customHeight="1">
      <c r="A46" s="24"/>
      <c r="B46" s="24"/>
      <c r="C46" s="24"/>
      <c r="D46" s="24"/>
      <c r="E46" s="25"/>
      <c r="F46" s="25"/>
      <c r="G46" s="26"/>
      <c r="H46" s="24"/>
      <c r="I46" s="24"/>
      <c r="J46" s="24"/>
      <c r="K46" s="24">
        <f t="shared" si="1"/>
        <v>0</v>
      </c>
      <c r="L46" s="24"/>
      <c r="M46" s="24"/>
      <c r="N46" s="24"/>
      <c r="O46" s="24"/>
    </row>
    <row r="47" spans="1:15" ht="22.5" customHeight="1">
      <c r="A47" s="24"/>
      <c r="B47" s="24"/>
      <c r="C47" s="24"/>
      <c r="D47" s="24"/>
      <c r="E47" s="25"/>
      <c r="F47" s="25"/>
      <c r="G47" s="26"/>
      <c r="H47" s="24"/>
      <c r="I47" s="24"/>
      <c r="J47" s="24"/>
      <c r="K47" s="24">
        <f t="shared" si="1"/>
        <v>0</v>
      </c>
      <c r="L47" s="24"/>
      <c r="M47" s="24"/>
      <c r="N47" s="24"/>
      <c r="O47" s="24"/>
    </row>
    <row r="48" spans="1:15" ht="22.5" customHeight="1">
      <c r="A48" s="24"/>
      <c r="B48" s="24"/>
      <c r="C48" s="24"/>
      <c r="D48" s="24"/>
      <c r="E48" s="25"/>
      <c r="F48" s="25"/>
      <c r="G48" s="26"/>
      <c r="H48" s="24"/>
      <c r="I48" s="24"/>
      <c r="J48" s="24"/>
      <c r="K48" s="24">
        <f t="shared" si="1"/>
        <v>0</v>
      </c>
      <c r="L48" s="24"/>
      <c r="M48" s="24"/>
      <c r="N48" s="24"/>
      <c r="O48" s="24"/>
    </row>
    <row r="49" spans="1:15" ht="22.5" customHeight="1">
      <c r="A49" s="24"/>
      <c r="B49" s="24"/>
      <c r="C49" s="24"/>
      <c r="D49" s="24"/>
      <c r="E49" s="25"/>
      <c r="F49" s="25"/>
      <c r="G49" s="26"/>
      <c r="H49" s="24"/>
      <c r="I49" s="24"/>
      <c r="J49" s="24"/>
      <c r="K49" s="24">
        <f t="shared" si="1"/>
        <v>0</v>
      </c>
      <c r="L49" s="24"/>
      <c r="M49" s="24"/>
      <c r="N49" s="24"/>
      <c r="O49" s="24"/>
    </row>
    <row r="50" spans="1:15" ht="22.5" customHeight="1">
      <c r="A50" s="24"/>
      <c r="B50" s="24"/>
      <c r="C50" s="24"/>
      <c r="D50" s="24"/>
      <c r="E50" s="25"/>
      <c r="F50" s="25"/>
      <c r="G50" s="26"/>
      <c r="H50" s="24"/>
      <c r="I50" s="24"/>
      <c r="J50" s="24"/>
      <c r="K50" s="24">
        <f t="shared" si="1"/>
        <v>0</v>
      </c>
      <c r="L50" s="24"/>
      <c r="M50" s="24"/>
      <c r="N50" s="24"/>
      <c r="O50" s="24"/>
    </row>
    <row r="51" spans="1:15" ht="22.5" customHeight="1">
      <c r="A51" s="24"/>
      <c r="B51" s="24"/>
      <c r="C51" s="24"/>
      <c r="D51" s="24"/>
      <c r="E51" s="25"/>
      <c r="F51" s="25"/>
      <c r="G51" s="26"/>
      <c r="H51" s="24"/>
      <c r="I51" s="24"/>
      <c r="J51" s="24"/>
      <c r="K51" s="24">
        <f t="shared" si="1"/>
        <v>0</v>
      </c>
      <c r="L51" s="24"/>
      <c r="M51" s="24"/>
      <c r="N51" s="24"/>
      <c r="O51" s="24"/>
    </row>
    <row r="52" spans="1:15" ht="22.5" customHeight="1">
      <c r="A52" s="24"/>
      <c r="B52" s="24"/>
      <c r="C52" s="24"/>
      <c r="D52" s="24"/>
      <c r="E52" s="25"/>
      <c r="F52" s="25"/>
      <c r="G52" s="26"/>
      <c r="H52" s="24"/>
      <c r="I52" s="24"/>
      <c r="J52" s="24"/>
      <c r="K52" s="24">
        <f t="shared" si="1"/>
        <v>0</v>
      </c>
      <c r="L52" s="24"/>
      <c r="M52" s="24"/>
      <c r="N52" s="24"/>
      <c r="O52" s="24"/>
    </row>
    <row r="53" spans="1:15" ht="22.5" customHeight="1">
      <c r="A53" s="24"/>
      <c r="B53" s="24"/>
      <c r="C53" s="24"/>
      <c r="D53" s="24"/>
      <c r="E53" s="25"/>
      <c r="F53" s="25"/>
      <c r="G53" s="26"/>
      <c r="H53" s="24"/>
      <c r="I53" s="24"/>
      <c r="J53" s="24"/>
      <c r="K53" s="24">
        <f t="shared" si="1"/>
        <v>0</v>
      </c>
      <c r="L53" s="24"/>
      <c r="M53" s="24"/>
      <c r="N53" s="24"/>
      <c r="O53" s="24"/>
    </row>
    <row r="54" spans="1:15" ht="22.5" customHeight="1">
      <c r="A54" s="24"/>
      <c r="B54" s="24"/>
      <c r="C54" s="24"/>
      <c r="D54" s="24"/>
      <c r="E54" s="25"/>
      <c r="F54" s="25"/>
      <c r="G54" s="26"/>
      <c r="H54" s="24"/>
      <c r="I54" s="24"/>
      <c r="J54" s="24"/>
      <c r="K54" s="24">
        <f t="shared" si="1"/>
        <v>0</v>
      </c>
      <c r="L54" s="24"/>
      <c r="M54" s="24"/>
      <c r="N54" s="24"/>
      <c r="O54" s="24"/>
    </row>
    <row r="55" spans="1:15" ht="22.5" customHeight="1">
      <c r="A55" s="24"/>
      <c r="B55" s="24"/>
      <c r="C55" s="24"/>
      <c r="D55" s="24"/>
      <c r="E55" s="25"/>
      <c r="F55" s="25"/>
      <c r="G55" s="26"/>
      <c r="H55" s="24"/>
      <c r="I55" s="24"/>
      <c r="J55" s="24"/>
      <c r="K55" s="24">
        <f t="shared" si="1"/>
        <v>0</v>
      </c>
      <c r="L55" s="24"/>
      <c r="M55" s="24"/>
      <c r="N55" s="24"/>
      <c r="O55" s="24"/>
    </row>
    <row r="56" spans="1:15" ht="22.5" customHeight="1">
      <c r="A56" s="24"/>
      <c r="B56" s="24"/>
      <c r="C56" s="24"/>
      <c r="D56" s="24"/>
      <c r="E56" s="25"/>
      <c r="F56" s="25"/>
      <c r="G56" s="26"/>
      <c r="H56" s="24"/>
      <c r="I56" s="24"/>
      <c r="J56" s="24"/>
      <c r="K56" s="24">
        <f t="shared" si="1"/>
        <v>0</v>
      </c>
      <c r="L56" s="24"/>
      <c r="M56" s="24"/>
      <c r="N56" s="24"/>
      <c r="O56" s="24"/>
    </row>
    <row r="57" spans="1:15" ht="22.5" customHeight="1">
      <c r="A57" s="24"/>
      <c r="B57" s="24"/>
      <c r="C57" s="24"/>
      <c r="D57" s="24"/>
      <c r="E57" s="25"/>
      <c r="F57" s="25"/>
      <c r="G57" s="26"/>
      <c r="H57" s="24"/>
      <c r="I57" s="24"/>
      <c r="J57" s="24"/>
      <c r="K57" s="24">
        <f t="shared" si="1"/>
        <v>0</v>
      </c>
      <c r="L57" s="24"/>
      <c r="M57" s="24"/>
      <c r="N57" s="24"/>
      <c r="O57" s="24"/>
    </row>
    <row r="58" spans="1:15" ht="22.5" customHeight="1">
      <c r="A58" s="24"/>
      <c r="B58" s="24"/>
      <c r="C58" s="24"/>
      <c r="D58" s="24"/>
      <c r="E58" s="25"/>
      <c r="F58" s="25"/>
      <c r="G58" s="26"/>
      <c r="H58" s="24"/>
      <c r="I58" s="24"/>
      <c r="J58" s="24"/>
      <c r="K58" s="24">
        <f t="shared" si="1"/>
        <v>0</v>
      </c>
      <c r="L58" s="24"/>
      <c r="M58" s="24"/>
      <c r="N58" s="24"/>
      <c r="O58" s="24"/>
    </row>
    <row r="59" spans="1:15" ht="22.5" customHeight="1">
      <c r="A59" s="24"/>
      <c r="B59" s="24"/>
      <c r="C59" s="24"/>
      <c r="D59" s="24"/>
      <c r="E59" s="25"/>
      <c r="F59" s="25"/>
      <c r="G59" s="26"/>
      <c r="H59" s="24"/>
      <c r="I59" s="24"/>
      <c r="J59" s="24"/>
      <c r="K59" s="24">
        <f t="shared" si="1"/>
        <v>0</v>
      </c>
      <c r="L59" s="24"/>
      <c r="M59" s="24"/>
      <c r="N59" s="24"/>
      <c r="O59" s="24"/>
    </row>
    <row r="60" spans="1:15" ht="22.5" customHeight="1">
      <c r="A60" s="24"/>
      <c r="B60" s="24"/>
      <c r="C60" s="24"/>
      <c r="D60" s="24"/>
      <c r="E60" s="25"/>
      <c r="F60" s="25"/>
      <c r="G60" s="26"/>
      <c r="H60" s="24"/>
      <c r="I60" s="24"/>
      <c r="J60" s="24"/>
      <c r="K60" s="24">
        <f t="shared" si="1"/>
        <v>0</v>
      </c>
      <c r="L60" s="24"/>
      <c r="M60" s="24"/>
      <c r="N60" s="24"/>
      <c r="O60" s="24"/>
    </row>
    <row r="61" spans="1:15" ht="22.5" customHeight="1">
      <c r="A61" s="24"/>
      <c r="B61" s="24"/>
      <c r="C61" s="24"/>
      <c r="D61" s="24"/>
      <c r="E61" s="25"/>
      <c r="F61" s="25"/>
      <c r="G61" s="26"/>
      <c r="H61" s="24"/>
      <c r="I61" s="24"/>
      <c r="J61" s="24"/>
      <c r="K61" s="24">
        <f t="shared" si="1"/>
        <v>0</v>
      </c>
      <c r="L61" s="24"/>
      <c r="M61" s="24"/>
      <c r="N61" s="24"/>
      <c r="O61" s="24"/>
    </row>
    <row r="62" spans="1:15" ht="22.5" customHeight="1">
      <c r="A62" s="24"/>
      <c r="B62" s="24"/>
      <c r="C62" s="24"/>
      <c r="D62" s="24"/>
      <c r="E62" s="25"/>
      <c r="F62" s="25"/>
      <c r="G62" s="26"/>
      <c r="H62" s="24"/>
      <c r="I62" s="24"/>
      <c r="J62" s="24"/>
      <c r="K62" s="24">
        <f t="shared" si="1"/>
        <v>0</v>
      </c>
      <c r="L62" s="24"/>
      <c r="M62" s="24"/>
      <c r="N62" s="24"/>
      <c r="O62" s="24"/>
    </row>
    <row r="63" spans="1:15" ht="22.5" customHeight="1">
      <c r="A63" s="24"/>
      <c r="B63" s="24"/>
      <c r="C63" s="24"/>
      <c r="D63" s="24"/>
      <c r="E63" s="25"/>
      <c r="F63" s="25"/>
      <c r="G63" s="26"/>
      <c r="H63" s="24"/>
      <c r="I63" s="24"/>
      <c r="J63" s="24"/>
      <c r="K63" s="24">
        <f t="shared" si="1"/>
        <v>0</v>
      </c>
      <c r="L63" s="24"/>
      <c r="M63" s="24"/>
      <c r="N63" s="24"/>
      <c r="O63" s="24"/>
    </row>
    <row r="64" spans="1:15" ht="22.5" customHeight="1">
      <c r="A64" s="24"/>
      <c r="B64" s="24"/>
      <c r="C64" s="24"/>
      <c r="D64" s="24"/>
      <c r="E64" s="25"/>
      <c r="F64" s="25"/>
      <c r="G64" s="26"/>
      <c r="H64" s="24"/>
      <c r="I64" s="24"/>
      <c r="J64" s="24"/>
      <c r="K64" s="24">
        <f t="shared" si="1"/>
        <v>0</v>
      </c>
      <c r="L64" s="24"/>
      <c r="M64" s="24"/>
      <c r="N64" s="24"/>
      <c r="O64" s="24"/>
    </row>
    <row r="65" spans="1:15" ht="22.5" customHeight="1">
      <c r="A65" s="24"/>
      <c r="B65" s="24"/>
      <c r="C65" s="24"/>
      <c r="D65" s="24"/>
      <c r="E65" s="25"/>
      <c r="F65" s="25"/>
      <c r="G65" s="26"/>
      <c r="H65" s="24"/>
      <c r="I65" s="24"/>
      <c r="J65" s="24"/>
      <c r="K65" s="24">
        <f t="shared" si="1"/>
        <v>0</v>
      </c>
      <c r="L65" s="24"/>
      <c r="M65" s="24"/>
      <c r="N65" s="24"/>
      <c r="O65" s="24"/>
    </row>
    <row r="66" spans="1:15" ht="22.5" customHeight="1">
      <c r="A66" s="24"/>
      <c r="B66" s="24"/>
      <c r="C66" s="24"/>
      <c r="D66" s="24"/>
      <c r="E66" s="25"/>
      <c r="F66" s="25"/>
      <c r="G66" s="26"/>
      <c r="H66" s="24"/>
      <c r="I66" s="24"/>
      <c r="J66" s="24"/>
      <c r="K66" s="24">
        <f t="shared" si="1"/>
        <v>0</v>
      </c>
      <c r="L66" s="24"/>
      <c r="M66" s="24"/>
      <c r="N66" s="24"/>
      <c r="O66" s="24"/>
    </row>
    <row r="67" spans="1:15" ht="22.5" customHeight="1">
      <c r="A67" s="24"/>
      <c r="B67" s="24"/>
      <c r="C67" s="24"/>
      <c r="D67" s="24"/>
      <c r="E67" s="25"/>
      <c r="F67" s="25"/>
      <c r="G67" s="26"/>
      <c r="H67" s="24"/>
      <c r="I67" s="24"/>
      <c r="J67" s="24"/>
      <c r="K67" s="24">
        <f t="shared" si="1"/>
        <v>0</v>
      </c>
      <c r="L67" s="24"/>
      <c r="M67" s="24"/>
      <c r="N67" s="24"/>
      <c r="O67" s="24"/>
    </row>
    <row r="68" spans="1:15" ht="22.5" customHeight="1">
      <c r="A68" s="24"/>
      <c r="B68" s="24"/>
      <c r="C68" s="24"/>
      <c r="D68" s="24"/>
      <c r="E68" s="25"/>
      <c r="F68" s="25"/>
      <c r="G68" s="26"/>
      <c r="H68" s="24"/>
      <c r="I68" s="24"/>
      <c r="J68" s="24"/>
      <c r="K68" s="24">
        <f t="shared" si="1"/>
        <v>0</v>
      </c>
      <c r="L68" s="24"/>
      <c r="M68" s="24"/>
      <c r="N68" s="24"/>
      <c r="O68" s="24"/>
    </row>
    <row r="69" spans="1:15" ht="22.5" customHeight="1">
      <c r="A69" s="24"/>
      <c r="B69" s="24"/>
      <c r="C69" s="24"/>
      <c r="D69" s="24"/>
      <c r="E69" s="25"/>
      <c r="F69" s="25"/>
      <c r="G69" s="26"/>
      <c r="H69" s="24"/>
      <c r="I69" s="24"/>
      <c r="J69" s="24"/>
      <c r="K69" s="24">
        <f t="shared" si="1"/>
        <v>0</v>
      </c>
      <c r="L69" s="24"/>
      <c r="M69" s="24"/>
      <c r="N69" s="24"/>
      <c r="O69" s="24"/>
    </row>
    <row r="70" spans="1:15" ht="22.5" customHeight="1">
      <c r="A70" s="24"/>
      <c r="B70" s="24"/>
      <c r="C70" s="24"/>
      <c r="D70" s="24"/>
      <c r="E70" s="25"/>
      <c r="F70" s="25"/>
      <c r="G70" s="26"/>
      <c r="H70" s="24"/>
      <c r="I70" s="24"/>
      <c r="J70" s="24"/>
      <c r="K70" s="24">
        <f t="shared" si="1"/>
        <v>0</v>
      </c>
      <c r="L70" s="24"/>
      <c r="M70" s="24"/>
      <c r="N70" s="24"/>
      <c r="O70" s="24"/>
    </row>
    <row r="71" spans="1:15" ht="22.5" customHeight="1">
      <c r="A71" s="24"/>
      <c r="B71" s="24"/>
      <c r="C71" s="24"/>
      <c r="D71" s="24"/>
      <c r="E71" s="25"/>
      <c r="F71" s="25"/>
      <c r="G71" s="26"/>
      <c r="H71" s="24"/>
      <c r="I71" s="24"/>
      <c r="J71" s="24"/>
      <c r="K71" s="24">
        <f t="shared" si="1"/>
        <v>0</v>
      </c>
      <c r="L71" s="24"/>
      <c r="M71" s="24"/>
      <c r="N71" s="24"/>
      <c r="O71" s="24"/>
    </row>
    <row r="72" spans="1:15" ht="22.5" customHeight="1">
      <c r="A72" s="24"/>
      <c r="B72" s="24"/>
      <c r="C72" s="24"/>
      <c r="D72" s="24"/>
      <c r="E72" s="25"/>
      <c r="F72" s="25"/>
      <c r="G72" s="26"/>
      <c r="H72" s="24"/>
      <c r="I72" s="24"/>
      <c r="J72" s="24"/>
      <c r="K72" s="24">
        <f t="shared" si="1"/>
        <v>0</v>
      </c>
      <c r="L72" s="24"/>
      <c r="M72" s="24"/>
      <c r="N72" s="24"/>
      <c r="O72" s="24"/>
    </row>
    <row r="73" spans="1:15" ht="22.5" customHeight="1">
      <c r="A73" s="24"/>
      <c r="B73" s="24"/>
      <c r="C73" s="24"/>
      <c r="D73" s="24"/>
      <c r="E73" s="25"/>
      <c r="F73" s="25"/>
      <c r="G73" s="26"/>
      <c r="H73" s="24"/>
      <c r="I73" s="24"/>
      <c r="J73" s="24"/>
      <c r="K73" s="24">
        <f t="shared" si="1"/>
        <v>0</v>
      </c>
      <c r="L73" s="24"/>
      <c r="M73" s="24"/>
      <c r="N73" s="24"/>
      <c r="O73" s="24"/>
    </row>
    <row r="74" spans="1:15" ht="22.5" customHeight="1">
      <c r="A74" s="24"/>
      <c r="B74" s="24"/>
      <c r="C74" s="24"/>
      <c r="D74" s="24"/>
      <c r="E74" s="25"/>
      <c r="F74" s="25"/>
      <c r="G74" s="26"/>
      <c r="H74" s="24"/>
      <c r="I74" s="24"/>
      <c r="J74" s="24"/>
      <c r="K74" s="24">
        <f t="shared" si="1"/>
        <v>0</v>
      </c>
      <c r="L74" s="24"/>
      <c r="M74" s="24"/>
      <c r="N74" s="24"/>
      <c r="O74" s="24"/>
    </row>
    <row r="75" spans="1:15" ht="22.5" customHeight="1">
      <c r="A75" s="24"/>
      <c r="B75" s="24"/>
      <c r="C75" s="24"/>
      <c r="D75" s="24"/>
      <c r="E75" s="25"/>
      <c r="F75" s="25"/>
      <c r="G75" s="26"/>
      <c r="H75" s="24"/>
      <c r="I75" s="24"/>
      <c r="J75" s="24"/>
      <c r="K75" s="24">
        <f t="shared" si="1"/>
        <v>0</v>
      </c>
      <c r="L75" s="24"/>
      <c r="M75" s="24"/>
      <c r="N75" s="24"/>
      <c r="O75" s="24"/>
    </row>
    <row r="76" spans="1:15" ht="22.5" customHeight="1">
      <c r="A76" s="24"/>
      <c r="B76" s="24"/>
      <c r="C76" s="24"/>
      <c r="D76" s="24"/>
      <c r="E76" s="25"/>
      <c r="F76" s="25"/>
      <c r="G76" s="26"/>
      <c r="H76" s="24"/>
      <c r="I76" s="24"/>
      <c r="J76" s="24"/>
      <c r="K76" s="24">
        <f t="shared" si="1"/>
        <v>0</v>
      </c>
      <c r="L76" s="24"/>
      <c r="M76" s="24"/>
      <c r="N76" s="24"/>
      <c r="O76" s="24"/>
    </row>
    <row r="77" spans="1:15" ht="22.5" customHeight="1">
      <c r="A77" s="24"/>
      <c r="B77" s="24"/>
      <c r="C77" s="24"/>
      <c r="D77" s="24"/>
      <c r="E77" s="25"/>
      <c r="F77" s="25"/>
      <c r="G77" s="26"/>
      <c r="H77" s="24"/>
      <c r="I77" s="24"/>
      <c r="J77" s="24"/>
      <c r="K77" s="24">
        <f t="shared" si="1"/>
        <v>0</v>
      </c>
      <c r="L77" s="24"/>
      <c r="M77" s="24"/>
      <c r="N77" s="24"/>
      <c r="O77" s="24"/>
    </row>
    <row r="78" spans="1:15" ht="22.5" customHeight="1">
      <c r="A78" s="24"/>
      <c r="B78" s="24"/>
      <c r="C78" s="24"/>
      <c r="D78" s="24"/>
      <c r="E78" s="25"/>
      <c r="F78" s="25"/>
      <c r="G78" s="26"/>
      <c r="H78" s="24"/>
      <c r="I78" s="24"/>
      <c r="J78" s="24"/>
      <c r="K78" s="24">
        <f t="shared" si="1"/>
        <v>0</v>
      </c>
      <c r="L78" s="24"/>
      <c r="M78" s="24"/>
      <c r="N78" s="24"/>
      <c r="O78" s="24"/>
    </row>
    <row r="79" spans="1:15" ht="22.5" customHeight="1">
      <c r="A79" s="24"/>
      <c r="B79" s="24"/>
      <c r="C79" s="24"/>
      <c r="D79" s="24"/>
      <c r="E79" s="25"/>
      <c r="F79" s="25"/>
      <c r="G79" s="26"/>
      <c r="H79" s="24"/>
      <c r="I79" s="24"/>
      <c r="J79" s="24"/>
      <c r="K79" s="24">
        <f t="shared" si="1"/>
        <v>0</v>
      </c>
      <c r="L79" s="24"/>
      <c r="M79" s="24"/>
      <c r="N79" s="24"/>
      <c r="O79" s="24"/>
    </row>
    <row r="80" spans="1:15" ht="22.5" customHeight="1">
      <c r="A80" s="24"/>
      <c r="B80" s="24"/>
      <c r="C80" s="24"/>
      <c r="D80" s="24"/>
      <c r="E80" s="25"/>
      <c r="F80" s="25"/>
      <c r="G80" s="26"/>
      <c r="H80" s="24"/>
      <c r="I80" s="24"/>
      <c r="J80" s="24"/>
      <c r="K80" s="24">
        <f t="shared" si="1"/>
        <v>0</v>
      </c>
      <c r="L80" s="24"/>
      <c r="M80" s="24"/>
      <c r="N80" s="24"/>
      <c r="O80" s="24"/>
    </row>
    <row r="81" spans="1:15" ht="22.5" customHeight="1">
      <c r="A81" s="24"/>
      <c r="B81" s="24"/>
      <c r="C81" s="24"/>
      <c r="D81" s="24"/>
      <c r="E81" s="25"/>
      <c r="F81" s="25"/>
      <c r="G81" s="26"/>
      <c r="H81" s="24"/>
      <c r="I81" s="24"/>
      <c r="J81" s="24"/>
      <c r="K81" s="24">
        <f t="shared" si="1"/>
        <v>0</v>
      </c>
      <c r="L81" s="24"/>
      <c r="M81" s="24"/>
      <c r="N81" s="24"/>
      <c r="O81" s="24"/>
    </row>
    <row r="82" spans="1:15" ht="22.5" customHeight="1">
      <c r="A82" s="24"/>
      <c r="B82" s="24"/>
      <c r="C82" s="24"/>
      <c r="D82" s="24"/>
      <c r="E82" s="25"/>
      <c r="F82" s="25"/>
      <c r="G82" s="26"/>
      <c r="H82" s="24"/>
      <c r="I82" s="24"/>
      <c r="J82" s="24"/>
      <c r="K82" s="24">
        <f t="shared" si="1"/>
        <v>0</v>
      </c>
      <c r="L82" s="24"/>
      <c r="M82" s="24"/>
      <c r="N82" s="24"/>
      <c r="O82" s="24"/>
    </row>
    <row r="83" spans="1:15" ht="22.5" customHeight="1">
      <c r="A83" s="24"/>
      <c r="B83" s="24"/>
      <c r="C83" s="24"/>
      <c r="D83" s="24"/>
      <c r="E83" s="25"/>
      <c r="F83" s="25"/>
      <c r="G83" s="26"/>
      <c r="H83" s="24"/>
      <c r="I83" s="24"/>
      <c r="J83" s="24"/>
      <c r="K83" s="24">
        <f t="shared" si="1"/>
        <v>0</v>
      </c>
      <c r="L83" s="24"/>
      <c r="M83" s="24"/>
      <c r="N83" s="24"/>
      <c r="O83" s="24"/>
    </row>
    <row r="84" spans="1:15" ht="22.5" customHeight="1">
      <c r="A84" s="24"/>
      <c r="B84" s="24"/>
      <c r="C84" s="24"/>
      <c r="D84" s="24"/>
      <c r="E84" s="25"/>
      <c r="F84" s="25"/>
      <c r="G84" s="26"/>
      <c r="H84" s="24"/>
      <c r="I84" s="24"/>
      <c r="J84" s="24"/>
      <c r="K84" s="24">
        <f t="shared" si="1"/>
        <v>0</v>
      </c>
      <c r="L84" s="24"/>
      <c r="M84" s="24"/>
      <c r="N84" s="24"/>
      <c r="O84" s="24"/>
    </row>
    <row r="85" spans="1:15" ht="13">
      <c r="E85" s="27"/>
      <c r="F85" s="27"/>
      <c r="G85" s="28"/>
    </row>
    <row r="86" spans="1:15" ht="13">
      <c r="E86" s="27"/>
      <c r="F86" s="27"/>
      <c r="G86" s="28"/>
    </row>
    <row r="87" spans="1:15" ht="13">
      <c r="E87" s="27"/>
      <c r="F87" s="27"/>
      <c r="G87" s="28"/>
    </row>
    <row r="88" spans="1:15" ht="13">
      <c r="E88" s="27"/>
      <c r="F88" s="27"/>
      <c r="G88" s="28"/>
    </row>
    <row r="89" spans="1:15" ht="13">
      <c r="E89" s="27"/>
      <c r="F89" s="27"/>
      <c r="G89" s="28"/>
    </row>
    <row r="90" spans="1:15" ht="13">
      <c r="E90" s="27"/>
      <c r="F90" s="27"/>
      <c r="G90" s="28"/>
    </row>
    <row r="91" spans="1:15" ht="13">
      <c r="E91" s="27"/>
      <c r="F91" s="27"/>
      <c r="G91" s="28"/>
    </row>
    <row r="92" spans="1:15" ht="13">
      <c r="E92" s="27"/>
      <c r="F92" s="27"/>
      <c r="G92" s="28"/>
    </row>
    <row r="93" spans="1:15" ht="13">
      <c r="E93" s="27"/>
      <c r="F93" s="27"/>
      <c r="G93" s="28"/>
    </row>
    <row r="94" spans="1:15" ht="13">
      <c r="E94" s="27"/>
      <c r="F94" s="27"/>
      <c r="G94" s="28"/>
    </row>
    <row r="95" spans="1:15" ht="13">
      <c r="E95" s="27"/>
      <c r="F95" s="27"/>
      <c r="G95" s="28"/>
    </row>
    <row r="96" spans="1:15" ht="13">
      <c r="E96" s="27"/>
      <c r="F96" s="27"/>
      <c r="G96" s="28"/>
    </row>
    <row r="97" spans="5:7" ht="13">
      <c r="E97" s="27"/>
      <c r="F97" s="27"/>
      <c r="G97" s="28"/>
    </row>
    <row r="98" spans="5:7" ht="13">
      <c r="E98" s="27"/>
      <c r="F98" s="27"/>
      <c r="G98" s="28"/>
    </row>
    <row r="99" spans="5:7" ht="13">
      <c r="E99" s="27"/>
      <c r="F99" s="27"/>
      <c r="G99" s="28"/>
    </row>
    <row r="100" spans="5:7" ht="13">
      <c r="E100" s="27"/>
      <c r="F100" s="27"/>
      <c r="G100" s="28"/>
    </row>
    <row r="101" spans="5:7" ht="13">
      <c r="E101" s="27"/>
      <c r="F101" s="27"/>
      <c r="G101" s="28"/>
    </row>
    <row r="102" spans="5:7" ht="13">
      <c r="E102" s="27"/>
      <c r="F102" s="27"/>
      <c r="G102" s="28"/>
    </row>
    <row r="103" spans="5:7" ht="13">
      <c r="E103" s="27"/>
      <c r="F103" s="27"/>
      <c r="G103" s="28"/>
    </row>
    <row r="104" spans="5:7" ht="13">
      <c r="E104" s="27"/>
      <c r="F104" s="27"/>
      <c r="G104" s="28"/>
    </row>
    <row r="105" spans="5:7" ht="13">
      <c r="E105" s="27"/>
      <c r="F105" s="27"/>
      <c r="G105" s="28"/>
    </row>
    <row r="106" spans="5:7" ht="13">
      <c r="E106" s="27"/>
      <c r="F106" s="27"/>
      <c r="G106" s="28"/>
    </row>
    <row r="107" spans="5:7" ht="13">
      <c r="E107" s="27"/>
      <c r="F107" s="27"/>
      <c r="G107" s="28"/>
    </row>
    <row r="108" spans="5:7" ht="13">
      <c r="E108" s="27"/>
      <c r="F108" s="27"/>
      <c r="G108" s="28"/>
    </row>
    <row r="109" spans="5:7" ht="13">
      <c r="E109" s="27"/>
      <c r="F109" s="27"/>
      <c r="G109" s="28"/>
    </row>
    <row r="110" spans="5:7" ht="13">
      <c r="E110" s="27"/>
      <c r="F110" s="27"/>
      <c r="G110" s="28"/>
    </row>
    <row r="111" spans="5:7" ht="13">
      <c r="E111" s="27"/>
      <c r="F111" s="27"/>
      <c r="G111" s="28"/>
    </row>
    <row r="112" spans="5:7" ht="13">
      <c r="E112" s="27"/>
      <c r="F112" s="27"/>
      <c r="G112" s="28"/>
    </row>
    <row r="113" spans="5:7" ht="13">
      <c r="E113" s="27"/>
      <c r="F113" s="27"/>
      <c r="G113" s="28"/>
    </row>
    <row r="114" spans="5:7" ht="13">
      <c r="E114" s="27"/>
      <c r="F114" s="27"/>
      <c r="G114" s="28"/>
    </row>
    <row r="115" spans="5:7" ht="13">
      <c r="E115" s="27"/>
      <c r="F115" s="27"/>
      <c r="G115" s="28"/>
    </row>
    <row r="116" spans="5:7" ht="13">
      <c r="E116" s="27"/>
      <c r="F116" s="27"/>
      <c r="G116" s="28"/>
    </row>
    <row r="117" spans="5:7" ht="13">
      <c r="E117" s="27"/>
      <c r="F117" s="27"/>
      <c r="G117" s="28"/>
    </row>
    <row r="118" spans="5:7" ht="13">
      <c r="E118" s="27"/>
      <c r="F118" s="27"/>
      <c r="G118" s="28"/>
    </row>
    <row r="119" spans="5:7" ht="13">
      <c r="E119" s="27"/>
      <c r="F119" s="27"/>
      <c r="G119" s="28"/>
    </row>
    <row r="120" spans="5:7" ht="13">
      <c r="E120" s="27"/>
      <c r="F120" s="27"/>
      <c r="G120" s="28"/>
    </row>
    <row r="121" spans="5:7" ht="13">
      <c r="E121" s="27"/>
      <c r="F121" s="27"/>
      <c r="G121" s="28"/>
    </row>
    <row r="122" spans="5:7" ht="13">
      <c r="E122" s="27"/>
      <c r="F122" s="27"/>
      <c r="G122" s="28"/>
    </row>
    <row r="123" spans="5:7" ht="13">
      <c r="E123" s="27"/>
      <c r="F123" s="27"/>
      <c r="G123" s="28"/>
    </row>
    <row r="124" spans="5:7" ht="13">
      <c r="E124" s="27"/>
      <c r="F124" s="27"/>
      <c r="G124" s="28"/>
    </row>
    <row r="125" spans="5:7" ht="13">
      <c r="E125" s="27"/>
      <c r="F125" s="27"/>
      <c r="G125" s="28"/>
    </row>
    <row r="126" spans="5:7" ht="13">
      <c r="E126" s="27"/>
      <c r="F126" s="27"/>
      <c r="G126" s="28"/>
    </row>
    <row r="127" spans="5:7" ht="13">
      <c r="E127" s="27"/>
      <c r="F127" s="27"/>
      <c r="G127" s="28"/>
    </row>
    <row r="128" spans="5:7" ht="13">
      <c r="E128" s="27"/>
      <c r="F128" s="27"/>
      <c r="G128" s="28"/>
    </row>
    <row r="129" spans="5:7" ht="13">
      <c r="E129" s="27"/>
      <c r="F129" s="27"/>
      <c r="G129" s="28"/>
    </row>
    <row r="130" spans="5:7" ht="13">
      <c r="E130" s="27"/>
      <c r="F130" s="27"/>
      <c r="G130" s="28"/>
    </row>
    <row r="131" spans="5:7" ht="13">
      <c r="E131" s="27"/>
      <c r="F131" s="27"/>
      <c r="G131" s="28"/>
    </row>
    <row r="132" spans="5:7" ht="13">
      <c r="E132" s="27"/>
      <c r="F132" s="27"/>
      <c r="G132" s="28"/>
    </row>
    <row r="133" spans="5:7" ht="13">
      <c r="E133" s="27"/>
      <c r="F133" s="27"/>
      <c r="G133" s="28"/>
    </row>
    <row r="134" spans="5:7" ht="13">
      <c r="E134" s="27"/>
      <c r="F134" s="27"/>
      <c r="G134" s="28"/>
    </row>
    <row r="135" spans="5:7" ht="13">
      <c r="E135" s="27"/>
      <c r="F135" s="27"/>
      <c r="G135" s="28"/>
    </row>
    <row r="136" spans="5:7" ht="13">
      <c r="E136" s="27"/>
      <c r="F136" s="27"/>
      <c r="G136" s="28"/>
    </row>
    <row r="137" spans="5:7" ht="13">
      <c r="E137" s="27"/>
      <c r="F137" s="27"/>
      <c r="G137" s="28"/>
    </row>
    <row r="138" spans="5:7" ht="13">
      <c r="E138" s="27"/>
      <c r="F138" s="27"/>
      <c r="G138" s="28"/>
    </row>
    <row r="139" spans="5:7" ht="13">
      <c r="E139" s="27"/>
      <c r="F139" s="27"/>
      <c r="G139" s="28"/>
    </row>
    <row r="140" spans="5:7" ht="13">
      <c r="E140" s="27"/>
      <c r="F140" s="27"/>
      <c r="G140" s="28"/>
    </row>
    <row r="141" spans="5:7" ht="13">
      <c r="E141" s="27"/>
      <c r="F141" s="27"/>
      <c r="G141" s="28"/>
    </row>
    <row r="142" spans="5:7" ht="13">
      <c r="E142" s="27"/>
      <c r="F142" s="27"/>
      <c r="G142" s="28"/>
    </row>
    <row r="143" spans="5:7" ht="13">
      <c r="E143" s="27"/>
      <c r="F143" s="27"/>
      <c r="G143" s="28"/>
    </row>
    <row r="144" spans="5:7" ht="13">
      <c r="E144" s="27"/>
      <c r="F144" s="27"/>
      <c r="G144" s="28"/>
    </row>
    <row r="145" spans="5:7" ht="13">
      <c r="E145" s="27"/>
      <c r="F145" s="27"/>
      <c r="G145" s="28"/>
    </row>
    <row r="146" spans="5:7" ht="13">
      <c r="E146" s="27"/>
      <c r="F146" s="27"/>
      <c r="G146" s="28"/>
    </row>
    <row r="147" spans="5:7" ht="13">
      <c r="E147" s="27"/>
      <c r="F147" s="27"/>
      <c r="G147" s="28"/>
    </row>
    <row r="148" spans="5:7" ht="13">
      <c r="E148" s="27"/>
      <c r="F148" s="27"/>
      <c r="G148" s="28"/>
    </row>
    <row r="149" spans="5:7" ht="13">
      <c r="E149" s="27"/>
      <c r="F149" s="27"/>
      <c r="G149" s="28"/>
    </row>
    <row r="150" spans="5:7" ht="13">
      <c r="E150" s="27"/>
      <c r="F150" s="27"/>
      <c r="G150" s="28"/>
    </row>
    <row r="151" spans="5:7" ht="13">
      <c r="E151" s="27"/>
      <c r="F151" s="27"/>
      <c r="G151" s="28"/>
    </row>
    <row r="152" spans="5:7" ht="13">
      <c r="E152" s="27"/>
      <c r="F152" s="27"/>
      <c r="G152" s="28"/>
    </row>
    <row r="153" spans="5:7" ht="13">
      <c r="E153" s="27"/>
      <c r="F153" s="27"/>
      <c r="G153" s="28"/>
    </row>
    <row r="154" spans="5:7" ht="13">
      <c r="E154" s="27"/>
      <c r="F154" s="27"/>
      <c r="G154" s="28"/>
    </row>
    <row r="155" spans="5:7" ht="13">
      <c r="E155" s="27"/>
      <c r="F155" s="27"/>
      <c r="G155" s="28"/>
    </row>
    <row r="156" spans="5:7" ht="13">
      <c r="E156" s="27"/>
      <c r="F156" s="27"/>
      <c r="G156" s="28"/>
    </row>
    <row r="157" spans="5:7" ht="13">
      <c r="E157" s="27"/>
      <c r="F157" s="27"/>
      <c r="G157" s="28"/>
    </row>
    <row r="158" spans="5:7" ht="13">
      <c r="E158" s="27"/>
      <c r="F158" s="27"/>
      <c r="G158" s="28"/>
    </row>
    <row r="159" spans="5:7" ht="13">
      <c r="E159" s="27"/>
      <c r="F159" s="27"/>
      <c r="G159" s="28"/>
    </row>
    <row r="160" spans="5:7" ht="13">
      <c r="E160" s="27"/>
      <c r="F160" s="27"/>
      <c r="G160" s="28"/>
    </row>
    <row r="161" spans="5:7" ht="13">
      <c r="E161" s="27"/>
      <c r="F161" s="27"/>
      <c r="G161" s="28"/>
    </row>
    <row r="162" spans="5:7" ht="13">
      <c r="E162" s="27"/>
      <c r="F162" s="27"/>
      <c r="G162" s="28"/>
    </row>
    <row r="163" spans="5:7" ht="13">
      <c r="E163" s="27"/>
      <c r="F163" s="27"/>
      <c r="G163" s="28"/>
    </row>
    <row r="164" spans="5:7" ht="13">
      <c r="E164" s="27"/>
      <c r="F164" s="27"/>
      <c r="G164" s="28"/>
    </row>
    <row r="165" spans="5:7" ht="13">
      <c r="E165" s="27"/>
      <c r="F165" s="27"/>
      <c r="G165" s="28"/>
    </row>
    <row r="166" spans="5:7" ht="13">
      <c r="E166" s="27"/>
      <c r="F166" s="27"/>
      <c r="G166" s="28"/>
    </row>
    <row r="167" spans="5:7" ht="13">
      <c r="E167" s="27"/>
      <c r="F167" s="27"/>
      <c r="G167" s="28"/>
    </row>
    <row r="168" spans="5:7" ht="13">
      <c r="E168" s="27"/>
      <c r="F168" s="27"/>
      <c r="G168" s="28"/>
    </row>
    <row r="169" spans="5:7" ht="13">
      <c r="E169" s="27"/>
      <c r="F169" s="27"/>
      <c r="G169" s="28"/>
    </row>
    <row r="170" spans="5:7" ht="13">
      <c r="E170" s="27"/>
      <c r="F170" s="27"/>
      <c r="G170" s="28"/>
    </row>
    <row r="171" spans="5:7" ht="13">
      <c r="E171" s="27"/>
      <c r="F171" s="27"/>
      <c r="G171" s="28"/>
    </row>
    <row r="172" spans="5:7" ht="13">
      <c r="E172" s="27"/>
      <c r="F172" s="27"/>
      <c r="G172" s="28"/>
    </row>
    <row r="173" spans="5:7" ht="13">
      <c r="E173" s="27"/>
      <c r="F173" s="27"/>
      <c r="G173" s="28"/>
    </row>
    <row r="174" spans="5:7" ht="13">
      <c r="E174" s="27"/>
      <c r="F174" s="27"/>
      <c r="G174" s="28"/>
    </row>
    <row r="175" spans="5:7" ht="13">
      <c r="E175" s="27"/>
      <c r="F175" s="27"/>
      <c r="G175" s="28"/>
    </row>
    <row r="176" spans="5:7" ht="13">
      <c r="E176" s="27"/>
      <c r="F176" s="27"/>
      <c r="G176" s="28"/>
    </row>
    <row r="177" spans="5:7" ht="13">
      <c r="E177" s="27"/>
      <c r="F177" s="27"/>
      <c r="G177" s="28"/>
    </row>
    <row r="178" spans="5:7" ht="13">
      <c r="E178" s="27"/>
      <c r="F178" s="27"/>
      <c r="G178" s="28"/>
    </row>
    <row r="179" spans="5:7" ht="13">
      <c r="E179" s="27"/>
      <c r="F179" s="27"/>
      <c r="G179" s="28"/>
    </row>
    <row r="180" spans="5:7" ht="13">
      <c r="E180" s="27"/>
      <c r="F180" s="27"/>
      <c r="G180" s="28"/>
    </row>
    <row r="181" spans="5:7" ht="13">
      <c r="E181" s="27"/>
      <c r="F181" s="27"/>
      <c r="G181" s="28"/>
    </row>
    <row r="182" spans="5:7" ht="13">
      <c r="E182" s="27"/>
      <c r="F182" s="27"/>
      <c r="G182" s="28"/>
    </row>
    <row r="183" spans="5:7" ht="13">
      <c r="E183" s="27"/>
      <c r="F183" s="27"/>
      <c r="G183" s="28"/>
    </row>
    <row r="184" spans="5:7" ht="13">
      <c r="E184" s="27"/>
      <c r="F184" s="27"/>
      <c r="G184" s="28"/>
    </row>
    <row r="185" spans="5:7" ht="13">
      <c r="E185" s="27"/>
      <c r="F185" s="27"/>
      <c r="G185" s="28"/>
    </row>
    <row r="186" spans="5:7" ht="13">
      <c r="E186" s="27"/>
      <c r="F186" s="27"/>
      <c r="G186" s="28"/>
    </row>
    <row r="187" spans="5:7" ht="13">
      <c r="E187" s="27"/>
      <c r="F187" s="27"/>
      <c r="G187" s="28"/>
    </row>
    <row r="188" spans="5:7" ht="13">
      <c r="E188" s="27"/>
      <c r="F188" s="27"/>
      <c r="G188" s="28"/>
    </row>
    <row r="189" spans="5:7" ht="13">
      <c r="E189" s="27"/>
      <c r="F189" s="27"/>
      <c r="G189" s="28"/>
    </row>
    <row r="190" spans="5:7" ht="13">
      <c r="E190" s="27"/>
      <c r="F190" s="27"/>
      <c r="G190" s="28"/>
    </row>
    <row r="191" spans="5:7" ht="13">
      <c r="E191" s="27"/>
      <c r="F191" s="27"/>
      <c r="G191" s="28"/>
    </row>
    <row r="192" spans="5:7" ht="13">
      <c r="E192" s="27"/>
      <c r="F192" s="27"/>
      <c r="G192" s="28"/>
    </row>
    <row r="193" spans="5:7" ht="13">
      <c r="E193" s="27"/>
      <c r="F193" s="27"/>
      <c r="G193" s="28"/>
    </row>
    <row r="194" spans="5:7" ht="13">
      <c r="E194" s="27"/>
      <c r="F194" s="27"/>
      <c r="G194" s="28"/>
    </row>
    <row r="195" spans="5:7" ht="13">
      <c r="E195" s="27"/>
      <c r="F195" s="27"/>
      <c r="G195" s="28"/>
    </row>
    <row r="196" spans="5:7" ht="13">
      <c r="E196" s="27"/>
      <c r="F196" s="27"/>
      <c r="G196" s="28"/>
    </row>
    <row r="197" spans="5:7" ht="13">
      <c r="E197" s="27"/>
      <c r="F197" s="27"/>
      <c r="G197" s="28"/>
    </row>
    <row r="198" spans="5:7" ht="13">
      <c r="E198" s="27"/>
      <c r="F198" s="27"/>
      <c r="G198" s="28"/>
    </row>
    <row r="199" spans="5:7" ht="13">
      <c r="E199" s="27"/>
      <c r="F199" s="27"/>
      <c r="G199" s="28"/>
    </row>
    <row r="200" spans="5:7" ht="13">
      <c r="E200" s="27"/>
      <c r="F200" s="27"/>
      <c r="G200" s="28"/>
    </row>
    <row r="201" spans="5:7" ht="13">
      <c r="E201" s="27"/>
      <c r="F201" s="27"/>
      <c r="G201" s="28"/>
    </row>
    <row r="202" spans="5:7" ht="13">
      <c r="E202" s="27"/>
      <c r="F202" s="27"/>
      <c r="G202" s="28"/>
    </row>
    <row r="203" spans="5:7" ht="13">
      <c r="E203" s="27"/>
      <c r="F203" s="27"/>
      <c r="G203" s="28"/>
    </row>
    <row r="204" spans="5:7" ht="13">
      <c r="E204" s="27"/>
      <c r="F204" s="27"/>
      <c r="G204" s="28"/>
    </row>
    <row r="205" spans="5:7" ht="13">
      <c r="E205" s="27"/>
      <c r="F205" s="27"/>
      <c r="G205" s="28"/>
    </row>
    <row r="206" spans="5:7" ht="13">
      <c r="E206" s="27"/>
      <c r="F206" s="27"/>
      <c r="G206" s="28"/>
    </row>
    <row r="207" spans="5:7" ht="13">
      <c r="E207" s="27"/>
      <c r="F207" s="27"/>
      <c r="G207" s="28"/>
    </row>
    <row r="208" spans="5:7" ht="13">
      <c r="E208" s="27"/>
      <c r="F208" s="27"/>
      <c r="G208" s="28"/>
    </row>
    <row r="209" spans="5:7" ht="13">
      <c r="E209" s="27"/>
      <c r="F209" s="27"/>
      <c r="G209" s="28"/>
    </row>
    <row r="210" spans="5:7" ht="13">
      <c r="E210" s="27"/>
      <c r="F210" s="27"/>
      <c r="G210" s="28"/>
    </row>
    <row r="211" spans="5:7" ht="13">
      <c r="E211" s="27"/>
      <c r="F211" s="27"/>
      <c r="G211" s="28"/>
    </row>
    <row r="212" spans="5:7" ht="13">
      <c r="E212" s="27"/>
      <c r="F212" s="27"/>
      <c r="G212" s="28"/>
    </row>
    <row r="213" spans="5:7" ht="13">
      <c r="E213" s="27"/>
      <c r="F213" s="27"/>
      <c r="G213" s="28"/>
    </row>
    <row r="214" spans="5:7" ht="13">
      <c r="E214" s="27"/>
      <c r="F214" s="27"/>
      <c r="G214" s="28"/>
    </row>
    <row r="215" spans="5:7" ht="13">
      <c r="E215" s="27"/>
      <c r="F215" s="27"/>
      <c r="G215" s="28"/>
    </row>
    <row r="216" spans="5:7" ht="13">
      <c r="E216" s="27"/>
      <c r="F216" s="27"/>
      <c r="G216" s="28"/>
    </row>
    <row r="217" spans="5:7" ht="13">
      <c r="E217" s="27"/>
      <c r="F217" s="27"/>
      <c r="G217" s="28"/>
    </row>
    <row r="218" spans="5:7" ht="13">
      <c r="E218" s="27"/>
      <c r="F218" s="27"/>
      <c r="G218" s="28"/>
    </row>
    <row r="219" spans="5:7" ht="13">
      <c r="E219" s="27"/>
      <c r="F219" s="27"/>
      <c r="G219" s="28"/>
    </row>
    <row r="220" spans="5:7" ht="13">
      <c r="E220" s="27"/>
      <c r="F220" s="27"/>
      <c r="G220" s="28"/>
    </row>
    <row r="221" spans="5:7" ht="13">
      <c r="E221" s="27"/>
      <c r="F221" s="27"/>
      <c r="G221" s="28"/>
    </row>
    <row r="222" spans="5:7" ht="13">
      <c r="E222" s="27"/>
      <c r="F222" s="27"/>
      <c r="G222" s="28"/>
    </row>
    <row r="223" spans="5:7" ht="13">
      <c r="E223" s="27"/>
      <c r="F223" s="27"/>
      <c r="G223" s="28"/>
    </row>
    <row r="224" spans="5:7" ht="13">
      <c r="E224" s="27"/>
      <c r="F224" s="27"/>
      <c r="G224" s="28"/>
    </row>
    <row r="225" spans="5:7" ht="13">
      <c r="E225" s="27"/>
      <c r="F225" s="27"/>
      <c r="G225" s="28"/>
    </row>
    <row r="226" spans="5:7" ht="13">
      <c r="E226" s="27"/>
      <c r="F226" s="27"/>
      <c r="G226" s="28"/>
    </row>
    <row r="227" spans="5:7" ht="13">
      <c r="E227" s="27"/>
      <c r="F227" s="27"/>
      <c r="G227" s="28"/>
    </row>
    <row r="228" spans="5:7" ht="13">
      <c r="E228" s="27"/>
      <c r="F228" s="27"/>
      <c r="G228" s="28"/>
    </row>
    <row r="229" spans="5:7" ht="13">
      <c r="E229" s="27"/>
      <c r="F229" s="27"/>
      <c r="G229" s="28"/>
    </row>
    <row r="230" spans="5:7" ht="13">
      <c r="E230" s="27"/>
      <c r="F230" s="27"/>
      <c r="G230" s="28"/>
    </row>
    <row r="231" spans="5:7" ht="13">
      <c r="E231" s="27"/>
      <c r="F231" s="27"/>
      <c r="G231" s="28"/>
    </row>
    <row r="232" spans="5:7" ht="13">
      <c r="E232" s="27"/>
      <c r="F232" s="27"/>
      <c r="G232" s="28"/>
    </row>
    <row r="233" spans="5:7" ht="13">
      <c r="E233" s="27"/>
      <c r="F233" s="27"/>
      <c r="G233" s="28"/>
    </row>
    <row r="234" spans="5:7" ht="13">
      <c r="E234" s="27"/>
      <c r="F234" s="27"/>
      <c r="G234" s="28"/>
    </row>
    <row r="235" spans="5:7" ht="13">
      <c r="E235" s="27"/>
      <c r="F235" s="27"/>
      <c r="G235" s="28"/>
    </row>
    <row r="236" spans="5:7" ht="13">
      <c r="E236" s="27"/>
      <c r="F236" s="27"/>
      <c r="G236" s="28"/>
    </row>
    <row r="237" spans="5:7" ht="13">
      <c r="E237" s="27"/>
      <c r="F237" s="27"/>
      <c r="G237" s="28"/>
    </row>
    <row r="238" spans="5:7" ht="13">
      <c r="E238" s="27"/>
      <c r="F238" s="27"/>
      <c r="G238" s="28"/>
    </row>
    <row r="239" spans="5:7" ht="13">
      <c r="E239" s="27"/>
      <c r="F239" s="27"/>
      <c r="G239" s="28"/>
    </row>
    <row r="240" spans="5:7" ht="13">
      <c r="E240" s="27"/>
      <c r="F240" s="27"/>
      <c r="G240" s="28"/>
    </row>
    <row r="241" spans="5:7" ht="13">
      <c r="E241" s="27"/>
      <c r="F241" s="27"/>
      <c r="G241" s="28"/>
    </row>
    <row r="242" spans="5:7" ht="13">
      <c r="E242" s="27"/>
      <c r="F242" s="27"/>
      <c r="G242" s="28"/>
    </row>
    <row r="243" spans="5:7" ht="13">
      <c r="E243" s="27"/>
      <c r="F243" s="27"/>
      <c r="G243" s="28"/>
    </row>
    <row r="244" spans="5:7" ht="13">
      <c r="E244" s="27"/>
      <c r="F244" s="27"/>
      <c r="G244" s="28"/>
    </row>
    <row r="245" spans="5:7" ht="13">
      <c r="E245" s="27"/>
      <c r="F245" s="27"/>
      <c r="G245" s="28"/>
    </row>
    <row r="246" spans="5:7" ht="13">
      <c r="E246" s="27"/>
      <c r="F246" s="27"/>
      <c r="G246" s="28"/>
    </row>
    <row r="247" spans="5:7" ht="13">
      <c r="E247" s="27"/>
      <c r="F247" s="27"/>
      <c r="G247" s="28"/>
    </row>
    <row r="248" spans="5:7" ht="13">
      <c r="E248" s="27"/>
      <c r="F248" s="27"/>
      <c r="G248" s="28"/>
    </row>
    <row r="249" spans="5:7" ht="13">
      <c r="E249" s="27"/>
      <c r="F249" s="27"/>
      <c r="G249" s="28"/>
    </row>
    <row r="250" spans="5:7" ht="13">
      <c r="E250" s="27"/>
      <c r="F250" s="27"/>
      <c r="G250" s="28"/>
    </row>
    <row r="251" spans="5:7" ht="13">
      <c r="E251" s="27"/>
      <c r="F251" s="27"/>
      <c r="G251" s="28"/>
    </row>
    <row r="252" spans="5:7" ht="13">
      <c r="E252" s="27"/>
      <c r="F252" s="27"/>
      <c r="G252" s="28"/>
    </row>
    <row r="253" spans="5:7" ht="13">
      <c r="E253" s="27"/>
      <c r="F253" s="27"/>
      <c r="G253" s="28"/>
    </row>
    <row r="254" spans="5:7" ht="13">
      <c r="E254" s="27"/>
      <c r="F254" s="27"/>
      <c r="G254" s="28"/>
    </row>
    <row r="255" spans="5:7" ht="13">
      <c r="E255" s="27"/>
      <c r="F255" s="27"/>
      <c r="G255" s="28"/>
    </row>
    <row r="256" spans="5:7" ht="13">
      <c r="E256" s="27"/>
      <c r="F256" s="27"/>
      <c r="G256" s="28"/>
    </row>
    <row r="257" spans="5:7" ht="13">
      <c r="E257" s="27"/>
      <c r="F257" s="27"/>
      <c r="G257" s="28"/>
    </row>
    <row r="258" spans="5:7" ht="13">
      <c r="E258" s="27"/>
      <c r="F258" s="27"/>
      <c r="G258" s="28"/>
    </row>
    <row r="259" spans="5:7" ht="13">
      <c r="E259" s="27"/>
      <c r="F259" s="27"/>
      <c r="G259" s="28"/>
    </row>
    <row r="260" spans="5:7" ht="13">
      <c r="E260" s="27"/>
      <c r="F260" s="27"/>
      <c r="G260" s="28"/>
    </row>
    <row r="261" spans="5:7" ht="13">
      <c r="E261" s="27"/>
      <c r="F261" s="27"/>
      <c r="G261" s="28"/>
    </row>
    <row r="262" spans="5:7" ht="13">
      <c r="E262" s="27"/>
      <c r="F262" s="27"/>
      <c r="G262" s="28"/>
    </row>
    <row r="263" spans="5:7" ht="13">
      <c r="E263" s="27"/>
      <c r="F263" s="27"/>
      <c r="G263" s="28"/>
    </row>
    <row r="264" spans="5:7" ht="13">
      <c r="E264" s="27"/>
      <c r="F264" s="27"/>
      <c r="G264" s="28"/>
    </row>
    <row r="265" spans="5:7" ht="13">
      <c r="E265" s="27"/>
      <c r="F265" s="27"/>
      <c r="G265" s="28"/>
    </row>
    <row r="266" spans="5:7" ht="13">
      <c r="E266" s="27"/>
      <c r="F266" s="27"/>
      <c r="G266" s="28"/>
    </row>
    <row r="267" spans="5:7" ht="13">
      <c r="E267" s="27"/>
      <c r="F267" s="27"/>
      <c r="G267" s="28"/>
    </row>
    <row r="268" spans="5:7" ht="13">
      <c r="E268" s="27"/>
      <c r="F268" s="27"/>
      <c r="G268" s="28"/>
    </row>
    <row r="269" spans="5:7" ht="13">
      <c r="E269" s="27"/>
      <c r="F269" s="27"/>
      <c r="G269" s="28"/>
    </row>
    <row r="270" spans="5:7" ht="13">
      <c r="E270" s="27"/>
      <c r="F270" s="27"/>
      <c r="G270" s="28"/>
    </row>
    <row r="271" spans="5:7" ht="13">
      <c r="E271" s="27"/>
      <c r="F271" s="27"/>
      <c r="G271" s="28"/>
    </row>
    <row r="272" spans="5:7" ht="13">
      <c r="E272" s="27"/>
      <c r="F272" s="27"/>
      <c r="G272" s="28"/>
    </row>
    <row r="273" spans="5:7" ht="13">
      <c r="E273" s="27"/>
      <c r="F273" s="27"/>
      <c r="G273" s="28"/>
    </row>
    <row r="274" spans="5:7" ht="13">
      <c r="E274" s="27"/>
      <c r="F274" s="27"/>
      <c r="G274" s="28"/>
    </row>
    <row r="275" spans="5:7" ht="13">
      <c r="E275" s="27"/>
      <c r="F275" s="27"/>
      <c r="G275" s="28"/>
    </row>
    <row r="276" spans="5:7" ht="13">
      <c r="E276" s="27"/>
      <c r="F276" s="27"/>
      <c r="G276" s="28"/>
    </row>
    <row r="277" spans="5:7" ht="13">
      <c r="E277" s="27"/>
      <c r="F277" s="27"/>
      <c r="G277" s="28"/>
    </row>
    <row r="278" spans="5:7" ht="13">
      <c r="E278" s="27"/>
      <c r="F278" s="27"/>
      <c r="G278" s="28"/>
    </row>
    <row r="279" spans="5:7" ht="13">
      <c r="E279" s="27"/>
      <c r="F279" s="27"/>
      <c r="G279" s="28"/>
    </row>
    <row r="280" spans="5:7" ht="13">
      <c r="E280" s="27"/>
      <c r="F280" s="27"/>
      <c r="G280" s="28"/>
    </row>
    <row r="281" spans="5:7" ht="13">
      <c r="E281" s="27"/>
      <c r="F281" s="27"/>
      <c r="G281" s="28"/>
    </row>
    <row r="282" spans="5:7" ht="13">
      <c r="E282" s="27"/>
      <c r="F282" s="27"/>
      <c r="G282" s="28"/>
    </row>
    <row r="283" spans="5:7" ht="13">
      <c r="E283" s="27"/>
      <c r="F283" s="27"/>
      <c r="G283" s="28"/>
    </row>
    <row r="284" spans="5:7" ht="13">
      <c r="E284" s="27"/>
      <c r="F284" s="27"/>
      <c r="G284" s="28"/>
    </row>
    <row r="285" spans="5:7" ht="13">
      <c r="E285" s="27"/>
      <c r="F285" s="27"/>
      <c r="G285" s="28"/>
    </row>
    <row r="286" spans="5:7" ht="13">
      <c r="E286" s="27"/>
      <c r="F286" s="27"/>
      <c r="G286" s="28"/>
    </row>
    <row r="287" spans="5:7" ht="13">
      <c r="E287" s="27"/>
      <c r="F287" s="27"/>
      <c r="G287" s="28"/>
    </row>
    <row r="288" spans="5:7" ht="13">
      <c r="E288" s="27"/>
      <c r="F288" s="27"/>
      <c r="G288" s="28"/>
    </row>
    <row r="289" spans="5:7" ht="13">
      <c r="E289" s="27"/>
      <c r="F289" s="27"/>
      <c r="G289" s="28"/>
    </row>
    <row r="290" spans="5:7" ht="13">
      <c r="E290" s="27"/>
      <c r="F290" s="27"/>
      <c r="G290" s="28"/>
    </row>
    <row r="291" spans="5:7" ht="13">
      <c r="E291" s="27"/>
      <c r="F291" s="27"/>
      <c r="G291" s="28"/>
    </row>
    <row r="292" spans="5:7" ht="13">
      <c r="E292" s="27"/>
      <c r="F292" s="27"/>
      <c r="G292" s="28"/>
    </row>
    <row r="293" spans="5:7" ht="13">
      <c r="E293" s="27"/>
      <c r="F293" s="27"/>
      <c r="G293" s="28"/>
    </row>
    <row r="294" spans="5:7" ht="13">
      <c r="E294" s="27"/>
      <c r="F294" s="27"/>
      <c r="G294" s="28"/>
    </row>
    <row r="295" spans="5:7" ht="13">
      <c r="E295" s="27"/>
      <c r="F295" s="27"/>
      <c r="G295" s="28"/>
    </row>
    <row r="296" spans="5:7" ht="13">
      <c r="E296" s="27"/>
      <c r="F296" s="27"/>
      <c r="G296" s="28"/>
    </row>
    <row r="297" spans="5:7" ht="13">
      <c r="E297" s="27"/>
      <c r="F297" s="27"/>
      <c r="G297" s="28"/>
    </row>
    <row r="298" spans="5:7" ht="13">
      <c r="E298" s="27"/>
      <c r="F298" s="27"/>
      <c r="G298" s="28"/>
    </row>
    <row r="299" spans="5:7" ht="13">
      <c r="E299" s="27"/>
      <c r="F299" s="27"/>
      <c r="G299" s="28"/>
    </row>
    <row r="300" spans="5:7" ht="13">
      <c r="E300" s="27"/>
      <c r="F300" s="27"/>
      <c r="G300" s="28"/>
    </row>
    <row r="301" spans="5:7" ht="13">
      <c r="E301" s="27"/>
      <c r="F301" s="27"/>
      <c r="G301" s="28"/>
    </row>
    <row r="302" spans="5:7" ht="13">
      <c r="E302" s="27"/>
      <c r="F302" s="27"/>
      <c r="G302" s="28"/>
    </row>
    <row r="303" spans="5:7" ht="13">
      <c r="E303" s="27"/>
      <c r="F303" s="27"/>
      <c r="G303" s="28"/>
    </row>
    <row r="304" spans="5:7" ht="13">
      <c r="E304" s="27"/>
      <c r="F304" s="27"/>
      <c r="G304" s="28"/>
    </row>
    <row r="305" spans="5:7" ht="13">
      <c r="E305" s="27"/>
      <c r="F305" s="27"/>
      <c r="G305" s="28"/>
    </row>
    <row r="306" spans="5:7" ht="13">
      <c r="E306" s="27"/>
      <c r="F306" s="27"/>
      <c r="G306" s="28"/>
    </row>
    <row r="307" spans="5:7" ht="13">
      <c r="E307" s="27"/>
      <c r="F307" s="27"/>
      <c r="G307" s="28"/>
    </row>
    <row r="308" spans="5:7" ht="13">
      <c r="E308" s="27"/>
      <c r="F308" s="27"/>
      <c r="G308" s="28"/>
    </row>
    <row r="309" spans="5:7" ht="13">
      <c r="E309" s="27"/>
      <c r="F309" s="27"/>
      <c r="G309" s="28"/>
    </row>
    <row r="310" spans="5:7" ht="13">
      <c r="E310" s="27"/>
      <c r="F310" s="27"/>
      <c r="G310" s="28"/>
    </row>
    <row r="311" spans="5:7" ht="13">
      <c r="E311" s="27"/>
      <c r="F311" s="27"/>
      <c r="G311" s="28"/>
    </row>
    <row r="312" spans="5:7" ht="13">
      <c r="E312" s="27"/>
      <c r="F312" s="27"/>
      <c r="G312" s="28"/>
    </row>
    <row r="313" spans="5:7" ht="13">
      <c r="E313" s="27"/>
      <c r="F313" s="27"/>
      <c r="G313" s="28"/>
    </row>
    <row r="314" spans="5:7" ht="13">
      <c r="E314" s="27"/>
      <c r="F314" s="27"/>
      <c r="G314" s="28"/>
    </row>
    <row r="315" spans="5:7" ht="13">
      <c r="E315" s="27"/>
      <c r="F315" s="27"/>
      <c r="G315" s="28"/>
    </row>
    <row r="316" spans="5:7" ht="13">
      <c r="E316" s="27"/>
      <c r="F316" s="27"/>
      <c r="G316" s="28"/>
    </row>
    <row r="317" spans="5:7" ht="13">
      <c r="E317" s="27"/>
      <c r="F317" s="27"/>
      <c r="G317" s="28"/>
    </row>
    <row r="318" spans="5:7" ht="13">
      <c r="E318" s="27"/>
      <c r="F318" s="27"/>
      <c r="G318" s="28"/>
    </row>
    <row r="319" spans="5:7" ht="13">
      <c r="E319" s="27"/>
      <c r="F319" s="27"/>
      <c r="G319" s="28"/>
    </row>
    <row r="320" spans="5:7" ht="13">
      <c r="E320" s="27"/>
      <c r="F320" s="27"/>
      <c r="G320" s="28"/>
    </row>
    <row r="321" spans="5:7" ht="13">
      <c r="E321" s="27"/>
      <c r="F321" s="27"/>
      <c r="G321" s="28"/>
    </row>
    <row r="322" spans="5:7" ht="13">
      <c r="E322" s="27"/>
      <c r="F322" s="27"/>
      <c r="G322" s="28"/>
    </row>
    <row r="323" spans="5:7" ht="13">
      <c r="E323" s="27"/>
      <c r="F323" s="27"/>
      <c r="G323" s="28"/>
    </row>
    <row r="324" spans="5:7" ht="13">
      <c r="E324" s="27"/>
      <c r="F324" s="27"/>
      <c r="G324" s="28"/>
    </row>
    <row r="325" spans="5:7" ht="13">
      <c r="E325" s="27"/>
      <c r="F325" s="27"/>
      <c r="G325" s="28"/>
    </row>
    <row r="326" spans="5:7" ht="13">
      <c r="E326" s="27"/>
      <c r="F326" s="27"/>
      <c r="G326" s="28"/>
    </row>
    <row r="327" spans="5:7" ht="13">
      <c r="E327" s="27"/>
      <c r="F327" s="27"/>
      <c r="G327" s="28"/>
    </row>
    <row r="328" spans="5:7" ht="13">
      <c r="E328" s="27"/>
      <c r="F328" s="27"/>
      <c r="G328" s="28"/>
    </row>
    <row r="329" spans="5:7" ht="13">
      <c r="E329" s="27"/>
      <c r="F329" s="27"/>
      <c r="G329" s="28"/>
    </row>
    <row r="330" spans="5:7" ht="13">
      <c r="E330" s="27"/>
      <c r="F330" s="27"/>
      <c r="G330" s="28"/>
    </row>
    <row r="331" spans="5:7" ht="13">
      <c r="E331" s="27"/>
      <c r="F331" s="27"/>
      <c r="G331" s="28"/>
    </row>
    <row r="332" spans="5:7" ht="13">
      <c r="E332" s="27"/>
      <c r="F332" s="27"/>
      <c r="G332" s="28"/>
    </row>
    <row r="333" spans="5:7" ht="13">
      <c r="E333" s="27"/>
      <c r="F333" s="27"/>
      <c r="G333" s="28"/>
    </row>
    <row r="334" spans="5:7" ht="13">
      <c r="E334" s="27"/>
      <c r="F334" s="27"/>
      <c r="G334" s="28"/>
    </row>
    <row r="335" spans="5:7" ht="13">
      <c r="E335" s="27"/>
      <c r="F335" s="27"/>
      <c r="G335" s="28"/>
    </row>
    <row r="336" spans="5:7" ht="13">
      <c r="E336" s="27"/>
      <c r="F336" s="27"/>
      <c r="G336" s="28"/>
    </row>
    <row r="337" spans="5:7" ht="13">
      <c r="E337" s="27"/>
      <c r="F337" s="27"/>
      <c r="G337" s="28"/>
    </row>
    <row r="338" spans="5:7" ht="13">
      <c r="E338" s="27"/>
      <c r="F338" s="27"/>
      <c r="G338" s="28"/>
    </row>
    <row r="339" spans="5:7" ht="13">
      <c r="E339" s="27"/>
      <c r="F339" s="27"/>
      <c r="G339" s="28"/>
    </row>
    <row r="340" spans="5:7" ht="13">
      <c r="E340" s="27"/>
      <c r="F340" s="27"/>
      <c r="G340" s="28"/>
    </row>
    <row r="341" spans="5:7" ht="13">
      <c r="E341" s="27"/>
      <c r="F341" s="27"/>
      <c r="G341" s="28"/>
    </row>
    <row r="342" spans="5:7" ht="13">
      <c r="E342" s="27"/>
      <c r="F342" s="27"/>
      <c r="G342" s="28"/>
    </row>
    <row r="343" spans="5:7" ht="13">
      <c r="E343" s="27"/>
      <c r="F343" s="27"/>
      <c r="G343" s="28"/>
    </row>
    <row r="344" spans="5:7" ht="13">
      <c r="E344" s="27"/>
      <c r="F344" s="27"/>
      <c r="G344" s="28"/>
    </row>
    <row r="345" spans="5:7" ht="13">
      <c r="E345" s="27"/>
      <c r="F345" s="27"/>
      <c r="G345" s="28"/>
    </row>
    <row r="346" spans="5:7" ht="13">
      <c r="E346" s="27"/>
      <c r="F346" s="27"/>
      <c r="G346" s="28"/>
    </row>
    <row r="347" spans="5:7" ht="13">
      <c r="E347" s="27"/>
      <c r="F347" s="27"/>
      <c r="G347" s="28"/>
    </row>
    <row r="348" spans="5:7" ht="13">
      <c r="E348" s="27"/>
      <c r="F348" s="27"/>
      <c r="G348" s="28"/>
    </row>
    <row r="349" spans="5:7" ht="13">
      <c r="E349" s="27"/>
      <c r="F349" s="27"/>
      <c r="G349" s="28"/>
    </row>
    <row r="350" spans="5:7" ht="13">
      <c r="E350" s="27"/>
      <c r="F350" s="27"/>
      <c r="G350" s="28"/>
    </row>
    <row r="351" spans="5:7" ht="13">
      <c r="E351" s="27"/>
      <c r="F351" s="27"/>
      <c r="G351" s="28"/>
    </row>
    <row r="352" spans="5:7" ht="13">
      <c r="E352" s="27"/>
      <c r="F352" s="27"/>
      <c r="G352" s="28"/>
    </row>
    <row r="353" spans="5:7" ht="13">
      <c r="E353" s="27"/>
      <c r="F353" s="27"/>
      <c r="G353" s="28"/>
    </row>
    <row r="354" spans="5:7" ht="13">
      <c r="E354" s="27"/>
      <c r="F354" s="27"/>
      <c r="G354" s="28"/>
    </row>
    <row r="355" spans="5:7" ht="13">
      <c r="E355" s="27"/>
      <c r="F355" s="27"/>
      <c r="G355" s="28"/>
    </row>
    <row r="356" spans="5:7" ht="13">
      <c r="E356" s="27"/>
      <c r="F356" s="27"/>
      <c r="G356" s="28"/>
    </row>
    <row r="357" spans="5:7" ht="13">
      <c r="E357" s="27"/>
      <c r="F357" s="27"/>
      <c r="G357" s="28"/>
    </row>
    <row r="358" spans="5:7" ht="13">
      <c r="E358" s="27"/>
      <c r="F358" s="27"/>
      <c r="G358" s="28"/>
    </row>
    <row r="359" spans="5:7" ht="13">
      <c r="E359" s="27"/>
      <c r="F359" s="27"/>
      <c r="G359" s="28"/>
    </row>
    <row r="360" spans="5:7" ht="13">
      <c r="E360" s="27"/>
      <c r="F360" s="27"/>
      <c r="G360" s="28"/>
    </row>
    <row r="361" spans="5:7" ht="13">
      <c r="E361" s="27"/>
      <c r="F361" s="27"/>
      <c r="G361" s="28"/>
    </row>
    <row r="362" spans="5:7" ht="13">
      <c r="E362" s="27"/>
      <c r="F362" s="27"/>
      <c r="G362" s="28"/>
    </row>
    <row r="363" spans="5:7" ht="13">
      <c r="E363" s="27"/>
      <c r="F363" s="27"/>
      <c r="G363" s="28"/>
    </row>
    <row r="364" spans="5:7" ht="13">
      <c r="E364" s="27"/>
      <c r="F364" s="27"/>
      <c r="G364" s="28"/>
    </row>
    <row r="365" spans="5:7" ht="13">
      <c r="E365" s="27"/>
      <c r="F365" s="27"/>
      <c r="G365" s="28"/>
    </row>
    <row r="366" spans="5:7" ht="13">
      <c r="E366" s="27"/>
      <c r="F366" s="27"/>
      <c r="G366" s="28"/>
    </row>
    <row r="367" spans="5:7" ht="13">
      <c r="E367" s="27"/>
      <c r="F367" s="27"/>
      <c r="G367" s="28"/>
    </row>
    <row r="368" spans="5:7" ht="13">
      <c r="E368" s="27"/>
      <c r="F368" s="27"/>
      <c r="G368" s="28"/>
    </row>
    <row r="369" spans="5:7" ht="13">
      <c r="E369" s="27"/>
      <c r="F369" s="27"/>
      <c r="G369" s="28"/>
    </row>
    <row r="370" spans="5:7" ht="13">
      <c r="E370" s="27"/>
      <c r="F370" s="27"/>
      <c r="G370" s="28"/>
    </row>
    <row r="371" spans="5:7" ht="13">
      <c r="E371" s="27"/>
      <c r="F371" s="27"/>
      <c r="G371" s="28"/>
    </row>
    <row r="372" spans="5:7" ht="13">
      <c r="E372" s="27"/>
      <c r="F372" s="27"/>
      <c r="G372" s="28"/>
    </row>
    <row r="373" spans="5:7" ht="13">
      <c r="E373" s="27"/>
      <c r="F373" s="27"/>
      <c r="G373" s="28"/>
    </row>
    <row r="374" spans="5:7" ht="13">
      <c r="E374" s="27"/>
      <c r="F374" s="27"/>
      <c r="G374" s="28"/>
    </row>
    <row r="375" spans="5:7" ht="13">
      <c r="E375" s="27"/>
      <c r="F375" s="27"/>
      <c r="G375" s="28"/>
    </row>
    <row r="376" spans="5:7" ht="13">
      <c r="E376" s="27"/>
      <c r="F376" s="27"/>
      <c r="G376" s="28"/>
    </row>
    <row r="377" spans="5:7" ht="13">
      <c r="E377" s="27"/>
      <c r="F377" s="27"/>
      <c r="G377" s="28"/>
    </row>
    <row r="378" spans="5:7" ht="13">
      <c r="E378" s="27"/>
      <c r="F378" s="27"/>
      <c r="G378" s="28"/>
    </row>
    <row r="379" spans="5:7" ht="13">
      <c r="E379" s="27"/>
      <c r="F379" s="27"/>
      <c r="G379" s="28"/>
    </row>
    <row r="380" spans="5:7" ht="13">
      <c r="E380" s="27"/>
      <c r="F380" s="27"/>
      <c r="G380" s="28"/>
    </row>
    <row r="381" spans="5:7" ht="13">
      <c r="E381" s="27"/>
      <c r="F381" s="27"/>
      <c r="G381" s="28"/>
    </row>
    <row r="382" spans="5:7" ht="13">
      <c r="E382" s="27"/>
      <c r="F382" s="27"/>
      <c r="G382" s="28"/>
    </row>
    <row r="383" spans="5:7" ht="13">
      <c r="E383" s="27"/>
      <c r="F383" s="27"/>
      <c r="G383" s="28"/>
    </row>
    <row r="384" spans="5:7" ht="13">
      <c r="E384" s="27"/>
      <c r="F384" s="27"/>
      <c r="G384" s="28"/>
    </row>
    <row r="385" spans="5:7" ht="13">
      <c r="E385" s="27"/>
      <c r="F385" s="27"/>
      <c r="G385" s="28"/>
    </row>
    <row r="386" spans="5:7" ht="13">
      <c r="E386" s="27"/>
      <c r="F386" s="27"/>
      <c r="G386" s="28"/>
    </row>
    <row r="387" spans="5:7" ht="13">
      <c r="E387" s="27"/>
      <c r="F387" s="27"/>
      <c r="G387" s="28"/>
    </row>
    <row r="388" spans="5:7" ht="13">
      <c r="E388" s="27"/>
      <c r="F388" s="27"/>
      <c r="G388" s="28"/>
    </row>
    <row r="389" spans="5:7" ht="13">
      <c r="E389" s="27"/>
      <c r="F389" s="27"/>
      <c r="G389" s="28"/>
    </row>
    <row r="390" spans="5:7" ht="13">
      <c r="E390" s="27"/>
      <c r="F390" s="27"/>
      <c r="G390" s="28"/>
    </row>
    <row r="391" spans="5:7" ht="13">
      <c r="E391" s="27"/>
      <c r="F391" s="27"/>
      <c r="G391" s="28"/>
    </row>
    <row r="392" spans="5:7" ht="13">
      <c r="E392" s="27"/>
      <c r="F392" s="27"/>
      <c r="G392" s="28"/>
    </row>
    <row r="393" spans="5:7" ht="13">
      <c r="E393" s="27"/>
      <c r="F393" s="27"/>
      <c r="G393" s="28"/>
    </row>
    <row r="394" spans="5:7" ht="13">
      <c r="E394" s="27"/>
      <c r="F394" s="27"/>
      <c r="G394" s="28"/>
    </row>
    <row r="395" spans="5:7" ht="13">
      <c r="E395" s="27"/>
      <c r="F395" s="27"/>
      <c r="G395" s="28"/>
    </row>
    <row r="396" spans="5:7" ht="13">
      <c r="E396" s="27"/>
      <c r="F396" s="27"/>
      <c r="G396" s="28"/>
    </row>
    <row r="397" spans="5:7" ht="13">
      <c r="E397" s="27"/>
      <c r="F397" s="27"/>
      <c r="G397" s="28"/>
    </row>
    <row r="398" spans="5:7" ht="13">
      <c r="E398" s="27"/>
      <c r="F398" s="27"/>
      <c r="G398" s="28"/>
    </row>
    <row r="399" spans="5:7" ht="13">
      <c r="E399" s="27"/>
      <c r="F399" s="27"/>
      <c r="G399" s="28"/>
    </row>
    <row r="400" spans="5:7" ht="13">
      <c r="E400" s="27"/>
      <c r="F400" s="27"/>
      <c r="G400" s="28"/>
    </row>
    <row r="401" spans="5:7" ht="13">
      <c r="E401" s="27"/>
      <c r="F401" s="27"/>
      <c r="G401" s="28"/>
    </row>
    <row r="402" spans="5:7" ht="13">
      <c r="E402" s="27"/>
      <c r="F402" s="27"/>
      <c r="G402" s="28"/>
    </row>
    <row r="403" spans="5:7" ht="13">
      <c r="E403" s="27"/>
      <c r="F403" s="27"/>
      <c r="G403" s="28"/>
    </row>
    <row r="404" spans="5:7" ht="13">
      <c r="E404" s="27"/>
      <c r="F404" s="27"/>
      <c r="G404" s="28"/>
    </row>
    <row r="405" spans="5:7" ht="13">
      <c r="E405" s="27"/>
      <c r="F405" s="27"/>
      <c r="G405" s="28"/>
    </row>
    <row r="406" spans="5:7" ht="13">
      <c r="E406" s="27"/>
      <c r="F406" s="27"/>
      <c r="G406" s="28"/>
    </row>
    <row r="407" spans="5:7" ht="13">
      <c r="E407" s="27"/>
      <c r="F407" s="27"/>
      <c r="G407" s="28"/>
    </row>
    <row r="408" spans="5:7" ht="13">
      <c r="E408" s="27"/>
      <c r="F408" s="27"/>
      <c r="G408" s="28"/>
    </row>
    <row r="409" spans="5:7" ht="13">
      <c r="E409" s="27"/>
      <c r="F409" s="27"/>
      <c r="G409" s="28"/>
    </row>
    <row r="410" spans="5:7" ht="13">
      <c r="E410" s="27"/>
      <c r="F410" s="27"/>
      <c r="G410" s="28"/>
    </row>
    <row r="411" spans="5:7" ht="13">
      <c r="E411" s="27"/>
      <c r="F411" s="27"/>
      <c r="G411" s="28"/>
    </row>
    <row r="412" spans="5:7" ht="13">
      <c r="E412" s="27"/>
      <c r="F412" s="27"/>
      <c r="G412" s="28"/>
    </row>
    <row r="413" spans="5:7" ht="13">
      <c r="E413" s="27"/>
      <c r="F413" s="27"/>
      <c r="G413" s="28"/>
    </row>
    <row r="414" spans="5:7" ht="13">
      <c r="E414" s="27"/>
      <c r="F414" s="27"/>
      <c r="G414" s="28"/>
    </row>
    <row r="415" spans="5:7" ht="13">
      <c r="E415" s="27"/>
      <c r="F415" s="27"/>
      <c r="G415" s="28"/>
    </row>
    <row r="416" spans="5:7" ht="13">
      <c r="E416" s="27"/>
      <c r="F416" s="27"/>
      <c r="G416" s="28"/>
    </row>
    <row r="417" spans="5:7" ht="13">
      <c r="E417" s="27"/>
      <c r="F417" s="27"/>
      <c r="G417" s="28"/>
    </row>
    <row r="418" spans="5:7" ht="13">
      <c r="E418" s="27"/>
      <c r="F418" s="27"/>
      <c r="G418" s="28"/>
    </row>
    <row r="419" spans="5:7" ht="13">
      <c r="E419" s="27"/>
      <c r="F419" s="27"/>
      <c r="G419" s="28"/>
    </row>
    <row r="420" spans="5:7" ht="13">
      <c r="E420" s="27"/>
      <c r="F420" s="27"/>
      <c r="G420" s="28"/>
    </row>
    <row r="421" spans="5:7" ht="13">
      <c r="E421" s="27"/>
      <c r="F421" s="27"/>
      <c r="G421" s="28"/>
    </row>
    <row r="422" spans="5:7" ht="13">
      <c r="E422" s="27"/>
      <c r="F422" s="27"/>
      <c r="G422" s="28"/>
    </row>
    <row r="423" spans="5:7" ht="13">
      <c r="E423" s="27"/>
      <c r="F423" s="27"/>
      <c r="G423" s="28"/>
    </row>
    <row r="424" spans="5:7" ht="13">
      <c r="E424" s="27"/>
      <c r="F424" s="27"/>
      <c r="G424" s="28"/>
    </row>
    <row r="425" spans="5:7" ht="13">
      <c r="E425" s="27"/>
      <c r="F425" s="27"/>
      <c r="G425" s="28"/>
    </row>
    <row r="426" spans="5:7" ht="13">
      <c r="E426" s="27"/>
      <c r="F426" s="27"/>
      <c r="G426" s="28"/>
    </row>
    <row r="427" spans="5:7" ht="13">
      <c r="E427" s="27"/>
      <c r="F427" s="27"/>
      <c r="G427" s="28"/>
    </row>
    <row r="428" spans="5:7" ht="13">
      <c r="E428" s="27"/>
      <c r="F428" s="27"/>
      <c r="G428" s="28"/>
    </row>
    <row r="429" spans="5:7" ht="13">
      <c r="E429" s="27"/>
      <c r="F429" s="27"/>
      <c r="G429" s="28"/>
    </row>
    <row r="430" spans="5:7" ht="13">
      <c r="E430" s="27"/>
      <c r="F430" s="27"/>
      <c r="G430" s="28"/>
    </row>
    <row r="431" spans="5:7" ht="13">
      <c r="E431" s="27"/>
      <c r="F431" s="27"/>
      <c r="G431" s="28"/>
    </row>
    <row r="432" spans="5:7" ht="13">
      <c r="E432" s="27"/>
      <c r="F432" s="27"/>
      <c r="G432" s="28"/>
    </row>
    <row r="433" spans="5:7" ht="13">
      <c r="E433" s="27"/>
      <c r="F433" s="27"/>
      <c r="G433" s="28"/>
    </row>
    <row r="434" spans="5:7" ht="13">
      <c r="E434" s="27"/>
      <c r="F434" s="27"/>
      <c r="G434" s="28"/>
    </row>
    <row r="435" spans="5:7" ht="13">
      <c r="E435" s="27"/>
      <c r="F435" s="27"/>
      <c r="G435" s="28"/>
    </row>
    <row r="436" spans="5:7" ht="13">
      <c r="E436" s="27"/>
      <c r="F436" s="27"/>
      <c r="G436" s="28"/>
    </row>
    <row r="437" spans="5:7" ht="13">
      <c r="E437" s="27"/>
      <c r="F437" s="27"/>
      <c r="G437" s="28"/>
    </row>
    <row r="438" spans="5:7" ht="13">
      <c r="E438" s="27"/>
      <c r="F438" s="27"/>
      <c r="G438" s="28"/>
    </row>
    <row r="439" spans="5:7" ht="13">
      <c r="E439" s="27"/>
      <c r="F439" s="27"/>
      <c r="G439" s="28"/>
    </row>
    <row r="440" spans="5:7" ht="13">
      <c r="E440" s="27"/>
      <c r="F440" s="27"/>
      <c r="G440" s="28"/>
    </row>
    <row r="441" spans="5:7" ht="13">
      <c r="E441" s="27"/>
      <c r="F441" s="27"/>
      <c r="G441" s="28"/>
    </row>
    <row r="442" spans="5:7" ht="13">
      <c r="E442" s="27"/>
      <c r="F442" s="27"/>
      <c r="G442" s="28"/>
    </row>
    <row r="443" spans="5:7" ht="13">
      <c r="E443" s="27"/>
      <c r="F443" s="27"/>
      <c r="G443" s="28"/>
    </row>
    <row r="444" spans="5:7" ht="13">
      <c r="E444" s="27"/>
      <c r="F444" s="27"/>
      <c r="G444" s="28"/>
    </row>
    <row r="445" spans="5:7" ht="13">
      <c r="E445" s="27"/>
      <c r="F445" s="27"/>
      <c r="G445" s="28"/>
    </row>
    <row r="446" spans="5:7" ht="13">
      <c r="E446" s="27"/>
      <c r="F446" s="27"/>
      <c r="G446" s="28"/>
    </row>
    <row r="447" spans="5:7" ht="13">
      <c r="E447" s="27"/>
      <c r="F447" s="27"/>
      <c r="G447" s="28"/>
    </row>
    <row r="448" spans="5:7" ht="13">
      <c r="E448" s="27"/>
      <c r="F448" s="27"/>
      <c r="G448" s="28"/>
    </row>
    <row r="449" spans="5:7" ht="13">
      <c r="E449" s="27"/>
      <c r="F449" s="27"/>
      <c r="G449" s="28"/>
    </row>
    <row r="450" spans="5:7" ht="13">
      <c r="E450" s="27"/>
      <c r="F450" s="27"/>
      <c r="G450" s="28"/>
    </row>
    <row r="451" spans="5:7" ht="13">
      <c r="E451" s="27"/>
      <c r="F451" s="27"/>
      <c r="G451" s="28"/>
    </row>
    <row r="452" spans="5:7" ht="13">
      <c r="E452" s="27"/>
      <c r="F452" s="27"/>
      <c r="G452" s="28"/>
    </row>
    <row r="453" spans="5:7" ht="13">
      <c r="E453" s="27"/>
      <c r="F453" s="27"/>
      <c r="G453" s="28"/>
    </row>
    <row r="454" spans="5:7" ht="13">
      <c r="E454" s="27"/>
      <c r="F454" s="27"/>
      <c r="G454" s="28"/>
    </row>
    <row r="455" spans="5:7" ht="13">
      <c r="E455" s="27"/>
      <c r="F455" s="27"/>
      <c r="G455" s="28"/>
    </row>
    <row r="456" spans="5:7" ht="13">
      <c r="E456" s="27"/>
      <c r="F456" s="27"/>
      <c r="G456" s="28"/>
    </row>
    <row r="457" spans="5:7" ht="13">
      <c r="E457" s="27"/>
      <c r="F457" s="27"/>
      <c r="G457" s="28"/>
    </row>
    <row r="458" spans="5:7" ht="13">
      <c r="E458" s="27"/>
      <c r="F458" s="27"/>
      <c r="G458" s="28"/>
    </row>
    <row r="459" spans="5:7" ht="13">
      <c r="E459" s="27"/>
      <c r="F459" s="27"/>
      <c r="G459" s="28"/>
    </row>
    <row r="460" spans="5:7" ht="13">
      <c r="E460" s="27"/>
      <c r="F460" s="27"/>
      <c r="G460" s="28"/>
    </row>
    <row r="461" spans="5:7" ht="13">
      <c r="E461" s="27"/>
      <c r="F461" s="27"/>
      <c r="G461" s="28"/>
    </row>
    <row r="462" spans="5:7" ht="13">
      <c r="E462" s="27"/>
      <c r="F462" s="27"/>
      <c r="G462" s="28"/>
    </row>
    <row r="463" spans="5:7" ht="13">
      <c r="E463" s="27"/>
      <c r="F463" s="27"/>
      <c r="G463" s="28"/>
    </row>
    <row r="464" spans="5:7" ht="13">
      <c r="E464" s="27"/>
      <c r="F464" s="27"/>
      <c r="G464" s="28"/>
    </row>
    <row r="465" spans="5:7" ht="13">
      <c r="E465" s="27"/>
      <c r="F465" s="27"/>
      <c r="G465" s="28"/>
    </row>
    <row r="466" spans="5:7" ht="13">
      <c r="E466" s="27"/>
      <c r="F466" s="27"/>
      <c r="G466" s="28"/>
    </row>
    <row r="467" spans="5:7" ht="13">
      <c r="E467" s="27"/>
      <c r="F467" s="27"/>
      <c r="G467" s="28"/>
    </row>
    <row r="468" spans="5:7" ht="13">
      <c r="E468" s="27"/>
      <c r="F468" s="27"/>
      <c r="G468" s="28"/>
    </row>
    <row r="469" spans="5:7" ht="13">
      <c r="E469" s="27"/>
      <c r="F469" s="27"/>
      <c r="G469" s="28"/>
    </row>
    <row r="470" spans="5:7" ht="13">
      <c r="E470" s="27"/>
      <c r="F470" s="27"/>
      <c r="G470" s="28"/>
    </row>
    <row r="471" spans="5:7" ht="13">
      <c r="E471" s="27"/>
      <c r="F471" s="27"/>
      <c r="G471" s="28"/>
    </row>
    <row r="472" spans="5:7" ht="13">
      <c r="E472" s="27"/>
      <c r="F472" s="27"/>
      <c r="G472" s="28"/>
    </row>
    <row r="473" spans="5:7" ht="13">
      <c r="E473" s="27"/>
      <c r="F473" s="27"/>
      <c r="G473" s="28"/>
    </row>
    <row r="474" spans="5:7" ht="13">
      <c r="E474" s="27"/>
      <c r="F474" s="27"/>
      <c r="G474" s="28"/>
    </row>
    <row r="475" spans="5:7" ht="13">
      <c r="E475" s="27"/>
      <c r="F475" s="27"/>
      <c r="G475" s="28"/>
    </row>
    <row r="476" spans="5:7" ht="13">
      <c r="E476" s="27"/>
      <c r="F476" s="27"/>
      <c r="G476" s="28"/>
    </row>
    <row r="477" spans="5:7" ht="13">
      <c r="E477" s="27"/>
      <c r="F477" s="27"/>
      <c r="G477" s="28"/>
    </row>
    <row r="478" spans="5:7" ht="13">
      <c r="E478" s="27"/>
      <c r="F478" s="27"/>
      <c r="G478" s="28"/>
    </row>
    <row r="479" spans="5:7" ht="13">
      <c r="E479" s="27"/>
      <c r="F479" s="27"/>
      <c r="G479" s="28"/>
    </row>
    <row r="480" spans="5:7" ht="13">
      <c r="E480" s="27"/>
      <c r="F480" s="27"/>
      <c r="G480" s="28"/>
    </row>
    <row r="481" spans="5:7" ht="13">
      <c r="E481" s="27"/>
      <c r="F481" s="27"/>
      <c r="G481" s="28"/>
    </row>
    <row r="482" spans="5:7" ht="13">
      <c r="E482" s="27"/>
      <c r="F482" s="27"/>
      <c r="G482" s="28"/>
    </row>
    <row r="483" spans="5:7" ht="13">
      <c r="E483" s="27"/>
      <c r="F483" s="27"/>
      <c r="G483" s="28"/>
    </row>
    <row r="484" spans="5:7" ht="13">
      <c r="E484" s="27"/>
      <c r="F484" s="27"/>
      <c r="G484" s="28"/>
    </row>
    <row r="485" spans="5:7" ht="13">
      <c r="E485" s="27"/>
      <c r="F485" s="27"/>
      <c r="G485" s="28"/>
    </row>
    <row r="486" spans="5:7" ht="13">
      <c r="E486" s="27"/>
      <c r="F486" s="27"/>
      <c r="G486" s="28"/>
    </row>
    <row r="487" spans="5:7" ht="13">
      <c r="E487" s="27"/>
      <c r="F487" s="27"/>
      <c r="G487" s="28"/>
    </row>
    <row r="488" spans="5:7" ht="13">
      <c r="E488" s="27"/>
      <c r="F488" s="27"/>
      <c r="G488" s="28"/>
    </row>
    <row r="489" spans="5:7" ht="13">
      <c r="E489" s="27"/>
      <c r="F489" s="27"/>
      <c r="G489" s="28"/>
    </row>
    <row r="490" spans="5:7" ht="13">
      <c r="E490" s="27"/>
      <c r="F490" s="27"/>
      <c r="G490" s="28"/>
    </row>
    <row r="491" spans="5:7" ht="13">
      <c r="E491" s="27"/>
      <c r="F491" s="27"/>
      <c r="G491" s="28"/>
    </row>
    <row r="492" spans="5:7" ht="13">
      <c r="E492" s="27"/>
      <c r="F492" s="27"/>
      <c r="G492" s="28"/>
    </row>
    <row r="493" spans="5:7" ht="13">
      <c r="E493" s="27"/>
      <c r="F493" s="27"/>
      <c r="G493" s="28"/>
    </row>
    <row r="494" spans="5:7" ht="13">
      <c r="E494" s="27"/>
      <c r="F494" s="27"/>
      <c r="G494" s="28"/>
    </row>
    <row r="495" spans="5:7" ht="13">
      <c r="E495" s="27"/>
      <c r="F495" s="27"/>
      <c r="G495" s="28"/>
    </row>
    <row r="496" spans="5:7" ht="13">
      <c r="E496" s="27"/>
      <c r="F496" s="27"/>
      <c r="G496" s="28"/>
    </row>
    <row r="497" spans="5:7" ht="13">
      <c r="E497" s="27"/>
      <c r="F497" s="27"/>
      <c r="G497" s="28"/>
    </row>
    <row r="498" spans="5:7" ht="13">
      <c r="E498" s="27"/>
      <c r="F498" s="27"/>
      <c r="G498" s="28"/>
    </row>
    <row r="499" spans="5:7" ht="13">
      <c r="E499" s="27"/>
      <c r="F499" s="27"/>
      <c r="G499" s="28"/>
    </row>
    <row r="500" spans="5:7" ht="13">
      <c r="E500" s="27"/>
      <c r="F500" s="27"/>
      <c r="G500" s="28"/>
    </row>
    <row r="501" spans="5:7" ht="13">
      <c r="E501" s="27"/>
      <c r="F501" s="27"/>
      <c r="G501" s="28"/>
    </row>
    <row r="502" spans="5:7" ht="13">
      <c r="E502" s="27"/>
      <c r="F502" s="27"/>
      <c r="G502" s="28"/>
    </row>
    <row r="503" spans="5:7" ht="13">
      <c r="E503" s="27"/>
      <c r="F503" s="27"/>
      <c r="G503" s="28"/>
    </row>
    <row r="504" spans="5:7" ht="13">
      <c r="E504" s="27"/>
      <c r="F504" s="27"/>
      <c r="G504" s="28"/>
    </row>
    <row r="505" spans="5:7" ht="13">
      <c r="E505" s="27"/>
      <c r="F505" s="27"/>
      <c r="G505" s="28"/>
    </row>
    <row r="506" spans="5:7" ht="13">
      <c r="E506" s="27"/>
      <c r="F506" s="27"/>
      <c r="G506" s="28"/>
    </row>
    <row r="507" spans="5:7" ht="13">
      <c r="E507" s="27"/>
      <c r="F507" s="27"/>
      <c r="G507" s="28"/>
    </row>
    <row r="508" spans="5:7" ht="13">
      <c r="E508" s="27"/>
      <c r="F508" s="27"/>
      <c r="G508" s="28"/>
    </row>
    <row r="509" spans="5:7" ht="13">
      <c r="E509" s="27"/>
      <c r="F509" s="27"/>
      <c r="G509" s="28"/>
    </row>
    <row r="510" spans="5:7" ht="13">
      <c r="E510" s="27"/>
      <c r="F510" s="27"/>
      <c r="G510" s="28"/>
    </row>
    <row r="511" spans="5:7" ht="13">
      <c r="E511" s="27"/>
      <c r="F511" s="27"/>
      <c r="G511" s="28"/>
    </row>
    <row r="512" spans="5:7" ht="13">
      <c r="E512" s="27"/>
      <c r="F512" s="27"/>
      <c r="G512" s="28"/>
    </row>
    <row r="513" spans="5:7" ht="13">
      <c r="E513" s="27"/>
      <c r="F513" s="27"/>
      <c r="G513" s="28"/>
    </row>
    <row r="514" spans="5:7" ht="13">
      <c r="E514" s="27"/>
      <c r="F514" s="27"/>
      <c r="G514" s="28"/>
    </row>
    <row r="515" spans="5:7" ht="13">
      <c r="E515" s="27"/>
      <c r="F515" s="27"/>
      <c r="G515" s="28"/>
    </row>
    <row r="516" spans="5:7" ht="13">
      <c r="E516" s="27"/>
      <c r="F516" s="27"/>
      <c r="G516" s="28"/>
    </row>
    <row r="517" spans="5:7" ht="13">
      <c r="E517" s="27"/>
      <c r="F517" s="27"/>
      <c r="G517" s="28"/>
    </row>
    <row r="518" spans="5:7" ht="13">
      <c r="E518" s="27"/>
      <c r="F518" s="27"/>
      <c r="G518" s="28"/>
    </row>
    <row r="519" spans="5:7" ht="13">
      <c r="E519" s="27"/>
      <c r="F519" s="27"/>
      <c r="G519" s="28"/>
    </row>
    <row r="520" spans="5:7" ht="13">
      <c r="E520" s="27"/>
      <c r="F520" s="27"/>
      <c r="G520" s="28"/>
    </row>
    <row r="521" spans="5:7" ht="13">
      <c r="E521" s="27"/>
      <c r="F521" s="27"/>
      <c r="G521" s="28"/>
    </row>
    <row r="522" spans="5:7" ht="13">
      <c r="E522" s="27"/>
      <c r="F522" s="27"/>
      <c r="G522" s="28"/>
    </row>
    <row r="523" spans="5:7" ht="13">
      <c r="E523" s="27"/>
      <c r="F523" s="27"/>
      <c r="G523" s="28"/>
    </row>
    <row r="524" spans="5:7" ht="13">
      <c r="E524" s="27"/>
      <c r="F524" s="27"/>
      <c r="G524" s="28"/>
    </row>
    <row r="525" spans="5:7" ht="13">
      <c r="E525" s="27"/>
      <c r="F525" s="27"/>
      <c r="G525" s="28"/>
    </row>
    <row r="526" spans="5:7" ht="13">
      <c r="E526" s="27"/>
      <c r="F526" s="27"/>
      <c r="G526" s="28"/>
    </row>
    <row r="527" spans="5:7" ht="13">
      <c r="E527" s="27"/>
      <c r="F527" s="27"/>
      <c r="G527" s="28"/>
    </row>
    <row r="528" spans="5:7" ht="13">
      <c r="E528" s="27"/>
      <c r="F528" s="27"/>
      <c r="G528" s="28"/>
    </row>
    <row r="529" spans="5:7" ht="13">
      <c r="E529" s="27"/>
      <c r="F529" s="27"/>
      <c r="G529" s="28"/>
    </row>
    <row r="530" spans="5:7" ht="13">
      <c r="E530" s="27"/>
      <c r="F530" s="27"/>
      <c r="G530" s="28"/>
    </row>
    <row r="531" spans="5:7" ht="13">
      <c r="E531" s="27"/>
      <c r="F531" s="27"/>
      <c r="G531" s="28"/>
    </row>
    <row r="532" spans="5:7" ht="13">
      <c r="E532" s="27"/>
      <c r="F532" s="27"/>
      <c r="G532" s="28"/>
    </row>
    <row r="533" spans="5:7" ht="13">
      <c r="E533" s="27"/>
      <c r="F533" s="27"/>
      <c r="G533" s="28"/>
    </row>
    <row r="534" spans="5:7" ht="13">
      <c r="E534" s="27"/>
      <c r="F534" s="27"/>
      <c r="G534" s="28"/>
    </row>
    <row r="535" spans="5:7" ht="13">
      <c r="E535" s="27"/>
      <c r="F535" s="27"/>
      <c r="G535" s="28"/>
    </row>
    <row r="536" spans="5:7" ht="13">
      <c r="E536" s="27"/>
      <c r="F536" s="27"/>
      <c r="G536" s="28"/>
    </row>
    <row r="537" spans="5:7" ht="13">
      <c r="E537" s="27"/>
      <c r="F537" s="27"/>
      <c r="G537" s="28"/>
    </row>
    <row r="538" spans="5:7" ht="13">
      <c r="E538" s="27"/>
      <c r="F538" s="27"/>
      <c r="G538" s="28"/>
    </row>
    <row r="539" spans="5:7" ht="13">
      <c r="E539" s="27"/>
      <c r="F539" s="27"/>
      <c r="G539" s="28"/>
    </row>
    <row r="540" spans="5:7" ht="13">
      <c r="E540" s="27"/>
      <c r="F540" s="27"/>
      <c r="G540" s="28"/>
    </row>
    <row r="541" spans="5:7" ht="13">
      <c r="E541" s="27"/>
      <c r="F541" s="27"/>
      <c r="G541" s="28"/>
    </row>
    <row r="542" spans="5:7" ht="13">
      <c r="E542" s="27"/>
      <c r="F542" s="27"/>
      <c r="G542" s="28"/>
    </row>
    <row r="543" spans="5:7" ht="13">
      <c r="E543" s="27"/>
      <c r="F543" s="27"/>
      <c r="G543" s="28"/>
    </row>
    <row r="544" spans="5:7" ht="13">
      <c r="E544" s="27"/>
      <c r="F544" s="27"/>
      <c r="G544" s="28"/>
    </row>
    <row r="545" spans="5:7" ht="13">
      <c r="E545" s="27"/>
      <c r="F545" s="27"/>
      <c r="G545" s="28"/>
    </row>
    <row r="546" spans="5:7" ht="13">
      <c r="E546" s="27"/>
      <c r="F546" s="27"/>
      <c r="G546" s="28"/>
    </row>
    <row r="547" spans="5:7" ht="13">
      <c r="E547" s="27"/>
      <c r="F547" s="27"/>
      <c r="G547" s="28"/>
    </row>
    <row r="548" spans="5:7" ht="13">
      <c r="E548" s="27"/>
      <c r="F548" s="27"/>
      <c r="G548" s="28"/>
    </row>
    <row r="549" spans="5:7" ht="13">
      <c r="E549" s="27"/>
      <c r="F549" s="27"/>
      <c r="G549" s="28"/>
    </row>
    <row r="550" spans="5:7" ht="13">
      <c r="E550" s="27"/>
      <c r="F550" s="27"/>
      <c r="G550" s="28"/>
    </row>
    <row r="551" spans="5:7" ht="13">
      <c r="E551" s="27"/>
      <c r="F551" s="27"/>
      <c r="G551" s="28"/>
    </row>
    <row r="552" spans="5:7" ht="13">
      <c r="E552" s="27"/>
      <c r="F552" s="27"/>
      <c r="G552" s="28"/>
    </row>
    <row r="553" spans="5:7" ht="13">
      <c r="E553" s="27"/>
      <c r="F553" s="27"/>
      <c r="G553" s="28"/>
    </row>
    <row r="554" spans="5:7" ht="13">
      <c r="E554" s="27"/>
      <c r="F554" s="27"/>
      <c r="G554" s="28"/>
    </row>
    <row r="555" spans="5:7" ht="13">
      <c r="E555" s="27"/>
      <c r="F555" s="27"/>
      <c r="G555" s="28"/>
    </row>
    <row r="556" spans="5:7" ht="13">
      <c r="E556" s="27"/>
      <c r="F556" s="27"/>
      <c r="G556" s="28"/>
    </row>
    <row r="557" spans="5:7" ht="13">
      <c r="E557" s="27"/>
      <c r="F557" s="27"/>
      <c r="G557" s="28"/>
    </row>
    <row r="558" spans="5:7" ht="13">
      <c r="E558" s="27"/>
      <c r="F558" s="27"/>
      <c r="G558" s="28"/>
    </row>
    <row r="559" spans="5:7" ht="13">
      <c r="E559" s="27"/>
      <c r="F559" s="27"/>
      <c r="G559" s="28"/>
    </row>
    <row r="560" spans="5:7" ht="13">
      <c r="E560" s="27"/>
      <c r="F560" s="27"/>
      <c r="G560" s="28"/>
    </row>
    <row r="561" spans="5:7" ht="13">
      <c r="E561" s="27"/>
      <c r="F561" s="27"/>
      <c r="G561" s="28"/>
    </row>
    <row r="562" spans="5:7" ht="13">
      <c r="E562" s="27"/>
      <c r="F562" s="27"/>
      <c r="G562" s="28"/>
    </row>
    <row r="563" spans="5:7" ht="13">
      <c r="E563" s="27"/>
      <c r="F563" s="27"/>
      <c r="G563" s="28"/>
    </row>
    <row r="564" spans="5:7" ht="13">
      <c r="E564" s="27"/>
      <c r="F564" s="27"/>
      <c r="G564" s="28"/>
    </row>
    <row r="565" spans="5:7" ht="13">
      <c r="E565" s="27"/>
      <c r="F565" s="27"/>
      <c r="G565" s="28"/>
    </row>
    <row r="566" spans="5:7" ht="13">
      <c r="E566" s="27"/>
      <c r="F566" s="27"/>
      <c r="G566" s="28"/>
    </row>
    <row r="567" spans="5:7" ht="13">
      <c r="E567" s="27"/>
      <c r="F567" s="27"/>
      <c r="G567" s="28"/>
    </row>
    <row r="568" spans="5:7" ht="13">
      <c r="E568" s="27"/>
      <c r="F568" s="27"/>
      <c r="G568" s="28"/>
    </row>
    <row r="569" spans="5:7" ht="13">
      <c r="E569" s="27"/>
      <c r="F569" s="27"/>
      <c r="G569" s="28"/>
    </row>
    <row r="570" spans="5:7" ht="13">
      <c r="E570" s="27"/>
      <c r="F570" s="27"/>
      <c r="G570" s="28"/>
    </row>
    <row r="571" spans="5:7" ht="13">
      <c r="E571" s="27"/>
      <c r="F571" s="27"/>
      <c r="G571" s="28"/>
    </row>
    <row r="572" spans="5:7" ht="13">
      <c r="E572" s="27"/>
      <c r="F572" s="27"/>
      <c r="G572" s="28"/>
    </row>
    <row r="573" spans="5:7" ht="13">
      <c r="E573" s="27"/>
      <c r="F573" s="27"/>
      <c r="G573" s="28"/>
    </row>
    <row r="574" spans="5:7" ht="13">
      <c r="E574" s="27"/>
      <c r="F574" s="27"/>
      <c r="G574" s="28"/>
    </row>
    <row r="575" spans="5:7" ht="13">
      <c r="E575" s="27"/>
      <c r="F575" s="27"/>
      <c r="G575" s="28"/>
    </row>
    <row r="576" spans="5:7" ht="13">
      <c r="E576" s="27"/>
      <c r="F576" s="27"/>
      <c r="G576" s="28"/>
    </row>
    <row r="577" spans="5:7" ht="13">
      <c r="E577" s="27"/>
      <c r="F577" s="27"/>
      <c r="G577" s="28"/>
    </row>
    <row r="578" spans="5:7" ht="13">
      <c r="E578" s="27"/>
      <c r="F578" s="27"/>
      <c r="G578" s="28"/>
    </row>
    <row r="579" spans="5:7" ht="13">
      <c r="E579" s="27"/>
      <c r="F579" s="27"/>
      <c r="G579" s="28"/>
    </row>
    <row r="580" spans="5:7" ht="13">
      <c r="E580" s="27"/>
      <c r="F580" s="27"/>
      <c r="G580" s="28"/>
    </row>
    <row r="581" spans="5:7" ht="13">
      <c r="E581" s="27"/>
      <c r="F581" s="27"/>
      <c r="G581" s="28"/>
    </row>
    <row r="582" spans="5:7" ht="13">
      <c r="E582" s="27"/>
      <c r="F582" s="27"/>
      <c r="G582" s="28"/>
    </row>
    <row r="583" spans="5:7" ht="13">
      <c r="E583" s="27"/>
      <c r="F583" s="27"/>
      <c r="G583" s="28"/>
    </row>
    <row r="584" spans="5:7" ht="13">
      <c r="E584" s="27"/>
      <c r="F584" s="27"/>
      <c r="G584" s="28"/>
    </row>
    <row r="585" spans="5:7" ht="13">
      <c r="E585" s="27"/>
      <c r="F585" s="27"/>
      <c r="G585" s="28"/>
    </row>
    <row r="586" spans="5:7" ht="13">
      <c r="E586" s="27"/>
      <c r="F586" s="27"/>
      <c r="G586" s="28"/>
    </row>
    <row r="587" spans="5:7" ht="13">
      <c r="E587" s="27"/>
      <c r="F587" s="27"/>
      <c r="G587" s="28"/>
    </row>
    <row r="588" spans="5:7" ht="13">
      <c r="E588" s="27"/>
      <c r="F588" s="27"/>
      <c r="G588" s="28"/>
    </row>
    <row r="589" spans="5:7" ht="13">
      <c r="E589" s="27"/>
      <c r="F589" s="27"/>
      <c r="G589" s="28"/>
    </row>
    <row r="590" spans="5:7" ht="13">
      <c r="E590" s="27"/>
      <c r="F590" s="27"/>
      <c r="G590" s="28"/>
    </row>
    <row r="591" spans="5:7" ht="13">
      <c r="E591" s="27"/>
      <c r="F591" s="27"/>
      <c r="G591" s="28"/>
    </row>
    <row r="592" spans="5:7" ht="13">
      <c r="E592" s="27"/>
      <c r="F592" s="27"/>
      <c r="G592" s="28"/>
    </row>
    <row r="593" spans="5:7" ht="13">
      <c r="E593" s="27"/>
      <c r="F593" s="27"/>
      <c r="G593" s="28"/>
    </row>
    <row r="594" spans="5:7" ht="13">
      <c r="E594" s="27"/>
      <c r="F594" s="27"/>
      <c r="G594" s="28"/>
    </row>
    <row r="595" spans="5:7" ht="13">
      <c r="E595" s="27"/>
      <c r="F595" s="27"/>
      <c r="G595" s="28"/>
    </row>
    <row r="596" spans="5:7" ht="13">
      <c r="E596" s="27"/>
      <c r="F596" s="27"/>
      <c r="G596" s="28"/>
    </row>
    <row r="597" spans="5:7" ht="13">
      <c r="E597" s="27"/>
      <c r="F597" s="27"/>
      <c r="G597" s="28"/>
    </row>
    <row r="598" spans="5:7" ht="13">
      <c r="E598" s="27"/>
      <c r="F598" s="27"/>
      <c r="G598" s="28"/>
    </row>
    <row r="599" spans="5:7" ht="13">
      <c r="E599" s="27"/>
      <c r="F599" s="27"/>
      <c r="G599" s="28"/>
    </row>
    <row r="600" spans="5:7" ht="13">
      <c r="E600" s="27"/>
      <c r="F600" s="27"/>
      <c r="G600" s="28"/>
    </row>
    <row r="601" spans="5:7" ht="13">
      <c r="E601" s="27"/>
      <c r="F601" s="27"/>
      <c r="G601" s="28"/>
    </row>
    <row r="602" spans="5:7" ht="13">
      <c r="E602" s="27"/>
      <c r="F602" s="27"/>
      <c r="G602" s="28"/>
    </row>
    <row r="603" spans="5:7" ht="13">
      <c r="E603" s="27"/>
      <c r="F603" s="27"/>
      <c r="G603" s="28"/>
    </row>
    <row r="604" spans="5:7" ht="13">
      <c r="E604" s="27"/>
      <c r="F604" s="27"/>
      <c r="G604" s="28"/>
    </row>
    <row r="605" spans="5:7" ht="13">
      <c r="E605" s="27"/>
      <c r="F605" s="27"/>
      <c r="G605" s="28"/>
    </row>
    <row r="606" spans="5:7" ht="13">
      <c r="E606" s="27"/>
      <c r="F606" s="27"/>
      <c r="G606" s="28"/>
    </row>
    <row r="607" spans="5:7" ht="13">
      <c r="E607" s="27"/>
      <c r="F607" s="27"/>
      <c r="G607" s="28"/>
    </row>
    <row r="608" spans="5:7" ht="13">
      <c r="E608" s="27"/>
      <c r="F608" s="27"/>
      <c r="G608" s="28"/>
    </row>
    <row r="609" spans="5:7" ht="13">
      <c r="E609" s="27"/>
      <c r="F609" s="27"/>
      <c r="G609" s="28"/>
    </row>
    <row r="610" spans="5:7" ht="13">
      <c r="E610" s="27"/>
      <c r="F610" s="27"/>
      <c r="G610" s="28"/>
    </row>
    <row r="611" spans="5:7" ht="13">
      <c r="E611" s="27"/>
      <c r="F611" s="27"/>
      <c r="G611" s="28"/>
    </row>
    <row r="612" spans="5:7" ht="13">
      <c r="E612" s="27"/>
      <c r="F612" s="27"/>
      <c r="G612" s="28"/>
    </row>
    <row r="613" spans="5:7" ht="13">
      <c r="E613" s="27"/>
      <c r="F613" s="27"/>
      <c r="G613" s="28"/>
    </row>
    <row r="614" spans="5:7" ht="13">
      <c r="E614" s="27"/>
      <c r="F614" s="27"/>
      <c r="G614" s="28"/>
    </row>
    <row r="615" spans="5:7" ht="13">
      <c r="E615" s="27"/>
      <c r="F615" s="27"/>
      <c r="G615" s="28"/>
    </row>
    <row r="616" spans="5:7" ht="13">
      <c r="E616" s="27"/>
      <c r="F616" s="27"/>
      <c r="G616" s="28"/>
    </row>
    <row r="617" spans="5:7" ht="13">
      <c r="E617" s="27"/>
      <c r="F617" s="27"/>
      <c r="G617" s="28"/>
    </row>
    <row r="618" spans="5:7" ht="13">
      <c r="E618" s="27"/>
      <c r="F618" s="27"/>
      <c r="G618" s="28"/>
    </row>
    <row r="619" spans="5:7" ht="13">
      <c r="E619" s="27"/>
      <c r="F619" s="27"/>
      <c r="G619" s="28"/>
    </row>
    <row r="620" spans="5:7" ht="13">
      <c r="E620" s="27"/>
      <c r="F620" s="27"/>
      <c r="G620" s="28"/>
    </row>
    <row r="621" spans="5:7" ht="13">
      <c r="E621" s="27"/>
      <c r="F621" s="27"/>
      <c r="G621" s="28"/>
    </row>
    <row r="622" spans="5:7" ht="13">
      <c r="E622" s="27"/>
      <c r="F622" s="27"/>
      <c r="G622" s="28"/>
    </row>
    <row r="623" spans="5:7" ht="13">
      <c r="E623" s="27"/>
      <c r="F623" s="27"/>
      <c r="G623" s="28"/>
    </row>
    <row r="624" spans="5:7" ht="13">
      <c r="E624" s="27"/>
      <c r="F624" s="27"/>
      <c r="G624" s="28"/>
    </row>
    <row r="625" spans="5:7" ht="13">
      <c r="E625" s="27"/>
      <c r="F625" s="27"/>
      <c r="G625" s="28"/>
    </row>
    <row r="626" spans="5:7" ht="13">
      <c r="E626" s="27"/>
      <c r="F626" s="27"/>
      <c r="G626" s="28"/>
    </row>
    <row r="627" spans="5:7" ht="13">
      <c r="E627" s="27"/>
      <c r="F627" s="27"/>
      <c r="G627" s="28"/>
    </row>
    <row r="628" spans="5:7" ht="13">
      <c r="E628" s="27"/>
      <c r="F628" s="27"/>
      <c r="G628" s="28"/>
    </row>
    <row r="629" spans="5:7" ht="13">
      <c r="E629" s="27"/>
      <c r="F629" s="27"/>
      <c r="G629" s="28"/>
    </row>
    <row r="630" spans="5:7" ht="13">
      <c r="E630" s="27"/>
      <c r="F630" s="27"/>
      <c r="G630" s="28"/>
    </row>
    <row r="631" spans="5:7" ht="13">
      <c r="E631" s="27"/>
      <c r="F631" s="27"/>
      <c r="G631" s="28"/>
    </row>
    <row r="632" spans="5:7" ht="13">
      <c r="E632" s="27"/>
      <c r="F632" s="27"/>
      <c r="G632" s="28"/>
    </row>
    <row r="633" spans="5:7" ht="13">
      <c r="E633" s="27"/>
      <c r="F633" s="27"/>
      <c r="G633" s="28"/>
    </row>
    <row r="634" spans="5:7" ht="13">
      <c r="E634" s="27"/>
      <c r="F634" s="27"/>
      <c r="G634" s="28"/>
    </row>
    <row r="635" spans="5:7" ht="13">
      <c r="E635" s="27"/>
      <c r="F635" s="27"/>
      <c r="G635" s="28"/>
    </row>
    <row r="636" spans="5:7" ht="13">
      <c r="E636" s="27"/>
      <c r="F636" s="27"/>
      <c r="G636" s="28"/>
    </row>
    <row r="637" spans="5:7" ht="13">
      <c r="E637" s="27"/>
      <c r="F637" s="27"/>
      <c r="G637" s="28"/>
    </row>
    <row r="638" spans="5:7" ht="13">
      <c r="E638" s="27"/>
      <c r="F638" s="27"/>
      <c r="G638" s="28"/>
    </row>
    <row r="639" spans="5:7" ht="13">
      <c r="E639" s="27"/>
      <c r="F639" s="27"/>
      <c r="G639" s="28"/>
    </row>
    <row r="640" spans="5:7" ht="13">
      <c r="E640" s="27"/>
      <c r="F640" s="27"/>
      <c r="G640" s="28"/>
    </row>
    <row r="641" spans="5:7" ht="13">
      <c r="E641" s="27"/>
      <c r="F641" s="27"/>
      <c r="G641" s="28"/>
    </row>
    <row r="642" spans="5:7" ht="13">
      <c r="E642" s="27"/>
      <c r="F642" s="27"/>
      <c r="G642" s="28"/>
    </row>
    <row r="643" spans="5:7" ht="13">
      <c r="E643" s="27"/>
      <c r="F643" s="27"/>
      <c r="G643" s="28"/>
    </row>
    <row r="644" spans="5:7" ht="13">
      <c r="E644" s="27"/>
      <c r="F644" s="27"/>
      <c r="G644" s="28"/>
    </row>
    <row r="645" spans="5:7" ht="13">
      <c r="E645" s="27"/>
      <c r="F645" s="27"/>
      <c r="G645" s="28"/>
    </row>
    <row r="646" spans="5:7" ht="13">
      <c r="E646" s="27"/>
      <c r="F646" s="27"/>
      <c r="G646" s="28"/>
    </row>
    <row r="647" spans="5:7" ht="13">
      <c r="E647" s="27"/>
      <c r="F647" s="27"/>
      <c r="G647" s="28"/>
    </row>
    <row r="648" spans="5:7" ht="13">
      <c r="E648" s="27"/>
      <c r="F648" s="27"/>
      <c r="G648" s="28"/>
    </row>
    <row r="649" spans="5:7" ht="13">
      <c r="E649" s="27"/>
      <c r="F649" s="27"/>
      <c r="G649" s="28"/>
    </row>
    <row r="650" spans="5:7" ht="13">
      <c r="E650" s="27"/>
      <c r="F650" s="27"/>
      <c r="G650" s="28"/>
    </row>
    <row r="651" spans="5:7" ht="13">
      <c r="E651" s="27"/>
      <c r="F651" s="27"/>
      <c r="G651" s="28"/>
    </row>
    <row r="652" spans="5:7" ht="13">
      <c r="E652" s="27"/>
      <c r="F652" s="27"/>
      <c r="G652" s="28"/>
    </row>
    <row r="653" spans="5:7" ht="13">
      <c r="E653" s="27"/>
      <c r="F653" s="27"/>
      <c r="G653" s="28"/>
    </row>
    <row r="654" spans="5:7" ht="13">
      <c r="E654" s="27"/>
      <c r="F654" s="27"/>
      <c r="G654" s="28"/>
    </row>
    <row r="655" spans="5:7" ht="13">
      <c r="E655" s="27"/>
      <c r="F655" s="27"/>
      <c r="G655" s="28"/>
    </row>
    <row r="656" spans="5:7" ht="13">
      <c r="E656" s="27"/>
      <c r="F656" s="27"/>
      <c r="G656" s="28"/>
    </row>
    <row r="657" spans="5:7" ht="13">
      <c r="E657" s="27"/>
      <c r="F657" s="27"/>
      <c r="G657" s="28"/>
    </row>
    <row r="658" spans="5:7" ht="13">
      <c r="E658" s="27"/>
      <c r="F658" s="27"/>
      <c r="G658" s="28"/>
    </row>
    <row r="659" spans="5:7" ht="13">
      <c r="E659" s="27"/>
      <c r="F659" s="27"/>
      <c r="G659" s="28"/>
    </row>
    <row r="660" spans="5:7" ht="13">
      <c r="E660" s="27"/>
      <c r="F660" s="27"/>
      <c r="G660" s="28"/>
    </row>
    <row r="661" spans="5:7" ht="13">
      <c r="E661" s="27"/>
      <c r="F661" s="27"/>
      <c r="G661" s="28"/>
    </row>
    <row r="662" spans="5:7" ht="13">
      <c r="E662" s="27"/>
      <c r="F662" s="27"/>
      <c r="G662" s="28"/>
    </row>
    <row r="663" spans="5:7" ht="13">
      <c r="E663" s="27"/>
      <c r="F663" s="27"/>
      <c r="G663" s="28"/>
    </row>
    <row r="664" spans="5:7" ht="13">
      <c r="E664" s="27"/>
      <c r="F664" s="27"/>
      <c r="G664" s="28"/>
    </row>
    <row r="665" spans="5:7" ht="13">
      <c r="E665" s="27"/>
      <c r="F665" s="27"/>
      <c r="G665" s="28"/>
    </row>
    <row r="666" spans="5:7" ht="13">
      <c r="E666" s="27"/>
      <c r="F666" s="27"/>
      <c r="G666" s="28"/>
    </row>
    <row r="667" spans="5:7" ht="13">
      <c r="E667" s="27"/>
      <c r="F667" s="27"/>
      <c r="G667" s="28"/>
    </row>
    <row r="668" spans="5:7" ht="13">
      <c r="E668" s="27"/>
      <c r="F668" s="27"/>
      <c r="G668" s="28"/>
    </row>
    <row r="669" spans="5:7" ht="13">
      <c r="E669" s="27"/>
      <c r="F669" s="27"/>
      <c r="G669" s="28"/>
    </row>
    <row r="670" spans="5:7" ht="13">
      <c r="E670" s="27"/>
      <c r="F670" s="27"/>
      <c r="G670" s="28"/>
    </row>
    <row r="671" spans="5:7" ht="13">
      <c r="E671" s="27"/>
      <c r="F671" s="27"/>
      <c r="G671" s="28"/>
    </row>
    <row r="672" spans="5:7" ht="13">
      <c r="E672" s="27"/>
      <c r="F672" s="27"/>
      <c r="G672" s="28"/>
    </row>
    <row r="673" spans="5:7" ht="13">
      <c r="E673" s="27"/>
      <c r="F673" s="27"/>
      <c r="G673" s="28"/>
    </row>
    <row r="674" spans="5:7" ht="13">
      <c r="E674" s="27"/>
      <c r="F674" s="27"/>
      <c r="G674" s="28"/>
    </row>
    <row r="675" spans="5:7" ht="13">
      <c r="E675" s="27"/>
      <c r="F675" s="27"/>
      <c r="G675" s="28"/>
    </row>
    <row r="676" spans="5:7" ht="13">
      <c r="E676" s="27"/>
      <c r="F676" s="27"/>
      <c r="G676" s="28"/>
    </row>
    <row r="677" spans="5:7" ht="13">
      <c r="E677" s="27"/>
      <c r="F677" s="27"/>
      <c r="G677" s="28"/>
    </row>
    <row r="678" spans="5:7" ht="13">
      <c r="E678" s="27"/>
      <c r="F678" s="27"/>
      <c r="G678" s="28"/>
    </row>
    <row r="679" spans="5:7" ht="13">
      <c r="E679" s="27"/>
      <c r="F679" s="27"/>
      <c r="G679" s="28"/>
    </row>
    <row r="680" spans="5:7" ht="13">
      <c r="E680" s="27"/>
      <c r="F680" s="27"/>
      <c r="G680" s="28"/>
    </row>
    <row r="681" spans="5:7" ht="13">
      <c r="E681" s="27"/>
      <c r="F681" s="27"/>
      <c r="G681" s="28"/>
    </row>
    <row r="682" spans="5:7" ht="13">
      <c r="E682" s="27"/>
      <c r="F682" s="27"/>
      <c r="G682" s="28"/>
    </row>
    <row r="683" spans="5:7" ht="13">
      <c r="E683" s="27"/>
      <c r="F683" s="27"/>
      <c r="G683" s="28"/>
    </row>
    <row r="684" spans="5:7" ht="13">
      <c r="E684" s="27"/>
      <c r="F684" s="27"/>
      <c r="G684" s="28"/>
    </row>
    <row r="685" spans="5:7" ht="13">
      <c r="E685" s="27"/>
      <c r="F685" s="27"/>
      <c r="G685" s="28"/>
    </row>
    <row r="686" spans="5:7" ht="13">
      <c r="E686" s="27"/>
      <c r="F686" s="27"/>
      <c r="G686" s="28"/>
    </row>
    <row r="687" spans="5:7" ht="13">
      <c r="E687" s="27"/>
      <c r="F687" s="27"/>
      <c r="G687" s="28"/>
    </row>
    <row r="688" spans="5:7" ht="13">
      <c r="E688" s="27"/>
      <c r="F688" s="27"/>
      <c r="G688" s="28"/>
    </row>
    <row r="689" spans="5:7" ht="13">
      <c r="E689" s="27"/>
      <c r="F689" s="27"/>
      <c r="G689" s="28"/>
    </row>
    <row r="690" spans="5:7" ht="13">
      <c r="E690" s="27"/>
      <c r="F690" s="27"/>
      <c r="G690" s="28"/>
    </row>
    <row r="691" spans="5:7" ht="13">
      <c r="E691" s="27"/>
      <c r="F691" s="27"/>
      <c r="G691" s="28"/>
    </row>
    <row r="692" spans="5:7" ht="13">
      <c r="E692" s="27"/>
      <c r="F692" s="27"/>
      <c r="G692" s="28"/>
    </row>
    <row r="693" spans="5:7" ht="13">
      <c r="E693" s="27"/>
      <c r="F693" s="27"/>
      <c r="G693" s="28"/>
    </row>
    <row r="694" spans="5:7" ht="13">
      <c r="E694" s="27"/>
      <c r="F694" s="27"/>
      <c r="G694" s="28"/>
    </row>
    <row r="695" spans="5:7" ht="13">
      <c r="E695" s="27"/>
      <c r="F695" s="27"/>
      <c r="G695" s="28"/>
    </row>
    <row r="696" spans="5:7" ht="13">
      <c r="E696" s="27"/>
      <c r="F696" s="27"/>
      <c r="G696" s="28"/>
    </row>
    <row r="697" spans="5:7" ht="13">
      <c r="E697" s="27"/>
      <c r="F697" s="27"/>
      <c r="G697" s="28"/>
    </row>
    <row r="698" spans="5:7" ht="13">
      <c r="E698" s="27"/>
      <c r="F698" s="27"/>
      <c r="G698" s="28"/>
    </row>
    <row r="699" spans="5:7" ht="13">
      <c r="E699" s="27"/>
      <c r="F699" s="27"/>
      <c r="G699" s="28"/>
    </row>
    <row r="700" spans="5:7" ht="13">
      <c r="E700" s="27"/>
      <c r="F700" s="27"/>
      <c r="G700" s="28"/>
    </row>
    <row r="701" spans="5:7" ht="13">
      <c r="E701" s="27"/>
      <c r="F701" s="27"/>
      <c r="G701" s="28"/>
    </row>
    <row r="702" spans="5:7" ht="13">
      <c r="E702" s="27"/>
      <c r="F702" s="27"/>
      <c r="G702" s="28"/>
    </row>
    <row r="703" spans="5:7" ht="13">
      <c r="E703" s="27"/>
      <c r="F703" s="27"/>
      <c r="G703" s="28"/>
    </row>
    <row r="704" spans="5:7" ht="13">
      <c r="E704" s="27"/>
      <c r="F704" s="27"/>
      <c r="G704" s="28"/>
    </row>
    <row r="705" spans="5:7" ht="13">
      <c r="E705" s="27"/>
      <c r="F705" s="27"/>
      <c r="G705" s="28"/>
    </row>
    <row r="706" spans="5:7" ht="13">
      <c r="E706" s="27"/>
      <c r="F706" s="27"/>
      <c r="G706" s="28"/>
    </row>
    <row r="707" spans="5:7" ht="13">
      <c r="E707" s="27"/>
      <c r="F707" s="27"/>
      <c r="G707" s="28"/>
    </row>
    <row r="708" spans="5:7" ht="13">
      <c r="E708" s="27"/>
      <c r="F708" s="27"/>
      <c r="G708" s="28"/>
    </row>
    <row r="709" spans="5:7" ht="13">
      <c r="E709" s="27"/>
      <c r="F709" s="27"/>
      <c r="G709" s="28"/>
    </row>
    <row r="710" spans="5:7" ht="13">
      <c r="E710" s="27"/>
      <c r="F710" s="27"/>
      <c r="G710" s="28"/>
    </row>
    <row r="711" spans="5:7" ht="13">
      <c r="E711" s="27"/>
      <c r="F711" s="27"/>
      <c r="G711" s="28"/>
    </row>
    <row r="712" spans="5:7" ht="13">
      <c r="E712" s="27"/>
      <c r="F712" s="27"/>
      <c r="G712" s="28"/>
    </row>
    <row r="713" spans="5:7" ht="13">
      <c r="E713" s="27"/>
      <c r="F713" s="27"/>
      <c r="G713" s="28"/>
    </row>
    <row r="714" spans="5:7" ht="13">
      <c r="E714" s="27"/>
      <c r="F714" s="27"/>
      <c r="G714" s="28"/>
    </row>
    <row r="715" spans="5:7" ht="13">
      <c r="E715" s="27"/>
      <c r="F715" s="27"/>
      <c r="G715" s="28"/>
    </row>
    <row r="716" spans="5:7" ht="13">
      <c r="E716" s="27"/>
      <c r="F716" s="27"/>
      <c r="G716" s="28"/>
    </row>
    <row r="717" spans="5:7" ht="13">
      <c r="E717" s="27"/>
      <c r="F717" s="27"/>
      <c r="G717" s="28"/>
    </row>
    <row r="718" spans="5:7" ht="13">
      <c r="E718" s="27"/>
      <c r="F718" s="27"/>
      <c r="G718" s="28"/>
    </row>
    <row r="719" spans="5:7" ht="13">
      <c r="E719" s="27"/>
      <c r="F719" s="27"/>
      <c r="G719" s="28"/>
    </row>
    <row r="720" spans="5:7" ht="13">
      <c r="E720" s="27"/>
      <c r="F720" s="27"/>
      <c r="G720" s="28"/>
    </row>
    <row r="721" spans="5:7" ht="13">
      <c r="E721" s="27"/>
      <c r="F721" s="27"/>
      <c r="G721" s="28"/>
    </row>
    <row r="722" spans="5:7" ht="13">
      <c r="E722" s="27"/>
      <c r="F722" s="27"/>
      <c r="G722" s="28"/>
    </row>
    <row r="723" spans="5:7" ht="13">
      <c r="E723" s="27"/>
      <c r="F723" s="27"/>
      <c r="G723" s="28"/>
    </row>
    <row r="724" spans="5:7" ht="13">
      <c r="E724" s="27"/>
      <c r="F724" s="27"/>
      <c r="G724" s="28"/>
    </row>
    <row r="725" spans="5:7" ht="13">
      <c r="E725" s="27"/>
      <c r="F725" s="27"/>
      <c r="G725" s="28"/>
    </row>
    <row r="726" spans="5:7" ht="13">
      <c r="E726" s="27"/>
      <c r="F726" s="27"/>
      <c r="G726" s="28"/>
    </row>
    <row r="727" spans="5:7" ht="13">
      <c r="E727" s="27"/>
      <c r="F727" s="27"/>
      <c r="G727" s="28"/>
    </row>
    <row r="728" spans="5:7" ht="13">
      <c r="E728" s="27"/>
      <c r="F728" s="27"/>
      <c r="G728" s="28"/>
    </row>
    <row r="729" spans="5:7" ht="13">
      <c r="E729" s="27"/>
      <c r="F729" s="27"/>
      <c r="G729" s="28"/>
    </row>
    <row r="730" spans="5:7" ht="13">
      <c r="E730" s="27"/>
      <c r="F730" s="27"/>
      <c r="G730" s="28"/>
    </row>
    <row r="731" spans="5:7" ht="13">
      <c r="E731" s="27"/>
      <c r="F731" s="27"/>
      <c r="G731" s="28"/>
    </row>
    <row r="732" spans="5:7" ht="13">
      <c r="E732" s="27"/>
      <c r="F732" s="27"/>
      <c r="G732" s="28"/>
    </row>
    <row r="733" spans="5:7" ht="13">
      <c r="E733" s="27"/>
      <c r="F733" s="27"/>
      <c r="G733" s="28"/>
    </row>
    <row r="734" spans="5:7" ht="13">
      <c r="E734" s="27"/>
      <c r="F734" s="27"/>
      <c r="G734" s="28"/>
    </row>
    <row r="735" spans="5:7" ht="13">
      <c r="E735" s="27"/>
      <c r="F735" s="27"/>
      <c r="G735" s="28"/>
    </row>
    <row r="736" spans="5:7" ht="13">
      <c r="E736" s="27"/>
      <c r="F736" s="27"/>
      <c r="G736" s="28"/>
    </row>
    <row r="737" spans="5:7" ht="13">
      <c r="E737" s="27"/>
      <c r="F737" s="27"/>
      <c r="G737" s="28"/>
    </row>
    <row r="738" spans="5:7" ht="13">
      <c r="E738" s="27"/>
      <c r="F738" s="27"/>
      <c r="G738" s="28"/>
    </row>
    <row r="739" spans="5:7" ht="13">
      <c r="E739" s="27"/>
      <c r="F739" s="27"/>
      <c r="G739" s="28"/>
    </row>
    <row r="740" spans="5:7" ht="13">
      <c r="E740" s="27"/>
      <c r="F740" s="27"/>
      <c r="G740" s="28"/>
    </row>
    <row r="741" spans="5:7" ht="13">
      <c r="E741" s="27"/>
      <c r="F741" s="27"/>
      <c r="G741" s="28"/>
    </row>
    <row r="742" spans="5:7" ht="13">
      <c r="E742" s="27"/>
      <c r="F742" s="27"/>
      <c r="G742" s="28"/>
    </row>
    <row r="743" spans="5:7" ht="13">
      <c r="E743" s="27"/>
      <c r="F743" s="27"/>
      <c r="G743" s="28"/>
    </row>
    <row r="744" spans="5:7" ht="13">
      <c r="E744" s="27"/>
      <c r="F744" s="27"/>
      <c r="G744" s="28"/>
    </row>
    <row r="745" spans="5:7" ht="13">
      <c r="E745" s="27"/>
      <c r="F745" s="27"/>
      <c r="G745" s="28"/>
    </row>
    <row r="746" spans="5:7" ht="13">
      <c r="E746" s="27"/>
      <c r="F746" s="27"/>
      <c r="G746" s="28"/>
    </row>
    <row r="747" spans="5:7" ht="13">
      <c r="E747" s="27"/>
      <c r="F747" s="27"/>
      <c r="G747" s="28"/>
    </row>
    <row r="748" spans="5:7" ht="13">
      <c r="E748" s="27"/>
      <c r="F748" s="27"/>
      <c r="G748" s="28"/>
    </row>
    <row r="749" spans="5:7" ht="13">
      <c r="E749" s="27"/>
      <c r="F749" s="27"/>
      <c r="G749" s="28"/>
    </row>
    <row r="750" spans="5:7" ht="13">
      <c r="E750" s="27"/>
      <c r="F750" s="27"/>
      <c r="G750" s="28"/>
    </row>
    <row r="751" spans="5:7" ht="13">
      <c r="E751" s="27"/>
      <c r="F751" s="27"/>
      <c r="G751" s="28"/>
    </row>
    <row r="752" spans="5:7" ht="13">
      <c r="E752" s="27"/>
      <c r="F752" s="27"/>
      <c r="G752" s="28"/>
    </row>
    <row r="753" spans="5:7" ht="13">
      <c r="E753" s="27"/>
      <c r="F753" s="27"/>
      <c r="G753" s="28"/>
    </row>
    <row r="754" spans="5:7" ht="13">
      <c r="E754" s="27"/>
      <c r="F754" s="27"/>
      <c r="G754" s="28"/>
    </row>
    <row r="755" spans="5:7" ht="13">
      <c r="E755" s="27"/>
      <c r="F755" s="27"/>
      <c r="G755" s="28"/>
    </row>
    <row r="756" spans="5:7" ht="13">
      <c r="E756" s="27"/>
      <c r="F756" s="27"/>
      <c r="G756" s="28"/>
    </row>
    <row r="757" spans="5:7" ht="13">
      <c r="E757" s="27"/>
      <c r="F757" s="27"/>
      <c r="G757" s="28"/>
    </row>
    <row r="758" spans="5:7" ht="13">
      <c r="E758" s="27"/>
      <c r="F758" s="27"/>
      <c r="G758" s="28"/>
    </row>
    <row r="759" spans="5:7" ht="13">
      <c r="E759" s="27"/>
      <c r="F759" s="27"/>
      <c r="G759" s="28"/>
    </row>
    <row r="760" spans="5:7" ht="13">
      <c r="E760" s="27"/>
      <c r="F760" s="27"/>
      <c r="G760" s="28"/>
    </row>
    <row r="761" spans="5:7" ht="13">
      <c r="E761" s="27"/>
      <c r="F761" s="27"/>
      <c r="G761" s="28"/>
    </row>
    <row r="762" spans="5:7" ht="13">
      <c r="E762" s="27"/>
      <c r="F762" s="27"/>
      <c r="G762" s="28"/>
    </row>
    <row r="763" spans="5:7" ht="13">
      <c r="E763" s="27"/>
      <c r="F763" s="27"/>
      <c r="G763" s="28"/>
    </row>
    <row r="764" spans="5:7" ht="13">
      <c r="E764" s="27"/>
      <c r="F764" s="27"/>
      <c r="G764" s="28"/>
    </row>
    <row r="765" spans="5:7" ht="13">
      <c r="E765" s="27"/>
      <c r="F765" s="27"/>
      <c r="G765" s="28"/>
    </row>
    <row r="766" spans="5:7" ht="13">
      <c r="E766" s="27"/>
      <c r="F766" s="27"/>
      <c r="G766" s="28"/>
    </row>
    <row r="767" spans="5:7" ht="13">
      <c r="E767" s="27"/>
      <c r="F767" s="27"/>
      <c r="G767" s="28"/>
    </row>
    <row r="768" spans="5:7" ht="13">
      <c r="E768" s="27"/>
      <c r="F768" s="27"/>
      <c r="G768" s="28"/>
    </row>
    <row r="769" spans="5:7" ht="13">
      <c r="E769" s="27"/>
      <c r="F769" s="27"/>
      <c r="G769" s="28"/>
    </row>
    <row r="770" spans="5:7" ht="13">
      <c r="E770" s="27"/>
      <c r="F770" s="27"/>
      <c r="G770" s="28"/>
    </row>
    <row r="771" spans="5:7" ht="13">
      <c r="E771" s="27"/>
      <c r="F771" s="27"/>
      <c r="G771" s="28"/>
    </row>
    <row r="772" spans="5:7" ht="13">
      <c r="E772" s="27"/>
      <c r="F772" s="27"/>
      <c r="G772" s="28"/>
    </row>
    <row r="773" spans="5:7" ht="13">
      <c r="E773" s="27"/>
      <c r="F773" s="27"/>
      <c r="G773" s="28"/>
    </row>
    <row r="774" spans="5:7" ht="13">
      <c r="E774" s="27"/>
      <c r="F774" s="27"/>
      <c r="G774" s="28"/>
    </row>
    <row r="775" spans="5:7" ht="13">
      <c r="E775" s="27"/>
      <c r="F775" s="27"/>
      <c r="G775" s="28"/>
    </row>
    <row r="776" spans="5:7" ht="13">
      <c r="E776" s="27"/>
      <c r="F776" s="27"/>
      <c r="G776" s="28"/>
    </row>
    <row r="777" spans="5:7" ht="13">
      <c r="E777" s="27"/>
      <c r="F777" s="27"/>
      <c r="G777" s="28"/>
    </row>
    <row r="778" spans="5:7" ht="13">
      <c r="E778" s="27"/>
      <c r="F778" s="27"/>
      <c r="G778" s="28"/>
    </row>
    <row r="779" spans="5:7" ht="13">
      <c r="E779" s="27"/>
      <c r="F779" s="27"/>
      <c r="G779" s="28"/>
    </row>
    <row r="780" spans="5:7" ht="13">
      <c r="E780" s="27"/>
      <c r="F780" s="27"/>
      <c r="G780" s="28"/>
    </row>
    <row r="781" spans="5:7" ht="13">
      <c r="E781" s="27"/>
      <c r="F781" s="27"/>
      <c r="G781" s="28"/>
    </row>
    <row r="782" spans="5:7" ht="13">
      <c r="E782" s="27"/>
      <c r="F782" s="27"/>
      <c r="G782" s="28"/>
    </row>
    <row r="783" spans="5:7" ht="13">
      <c r="E783" s="27"/>
      <c r="F783" s="27"/>
      <c r="G783" s="28"/>
    </row>
    <row r="784" spans="5:7" ht="13">
      <c r="E784" s="27"/>
      <c r="F784" s="27"/>
      <c r="G784" s="28"/>
    </row>
    <row r="785" spans="5:7" ht="13">
      <c r="E785" s="27"/>
      <c r="F785" s="27"/>
      <c r="G785" s="28"/>
    </row>
    <row r="786" spans="5:7" ht="13">
      <c r="E786" s="27"/>
      <c r="F786" s="27"/>
      <c r="G786" s="28"/>
    </row>
    <row r="787" spans="5:7" ht="13">
      <c r="E787" s="27"/>
      <c r="F787" s="27"/>
      <c r="G787" s="28"/>
    </row>
    <row r="788" spans="5:7" ht="13">
      <c r="E788" s="27"/>
      <c r="F788" s="27"/>
      <c r="G788" s="28"/>
    </row>
    <row r="789" spans="5:7" ht="13">
      <c r="E789" s="27"/>
      <c r="F789" s="27"/>
      <c r="G789" s="28"/>
    </row>
    <row r="790" spans="5:7" ht="13">
      <c r="E790" s="27"/>
      <c r="F790" s="27"/>
      <c r="G790" s="28"/>
    </row>
    <row r="791" spans="5:7" ht="13">
      <c r="E791" s="27"/>
      <c r="F791" s="27"/>
      <c r="G791" s="28"/>
    </row>
    <row r="792" spans="5:7" ht="13">
      <c r="E792" s="27"/>
      <c r="F792" s="27"/>
      <c r="G792" s="28"/>
    </row>
    <row r="793" spans="5:7" ht="13">
      <c r="E793" s="27"/>
      <c r="F793" s="27"/>
      <c r="G793" s="28"/>
    </row>
    <row r="794" spans="5:7" ht="13">
      <c r="E794" s="27"/>
      <c r="F794" s="27"/>
      <c r="G794" s="28"/>
    </row>
    <row r="795" spans="5:7" ht="13">
      <c r="E795" s="27"/>
      <c r="F795" s="27"/>
      <c r="G795" s="28"/>
    </row>
    <row r="796" spans="5:7" ht="13">
      <c r="E796" s="27"/>
      <c r="F796" s="27"/>
      <c r="G796" s="28"/>
    </row>
    <row r="797" spans="5:7" ht="13">
      <c r="E797" s="27"/>
      <c r="F797" s="27"/>
      <c r="G797" s="28"/>
    </row>
    <row r="798" spans="5:7" ht="13">
      <c r="E798" s="27"/>
      <c r="F798" s="27"/>
      <c r="G798" s="28"/>
    </row>
    <row r="799" spans="5:7" ht="13">
      <c r="E799" s="27"/>
      <c r="F799" s="27"/>
      <c r="G799" s="28"/>
    </row>
    <row r="800" spans="5:7" ht="13">
      <c r="E800" s="27"/>
      <c r="F800" s="27"/>
      <c r="G800" s="28"/>
    </row>
    <row r="801" spans="5:7" ht="13">
      <c r="E801" s="27"/>
      <c r="F801" s="27"/>
      <c r="G801" s="28"/>
    </row>
    <row r="802" spans="5:7" ht="13">
      <c r="E802" s="27"/>
      <c r="F802" s="27"/>
      <c r="G802" s="28"/>
    </row>
    <row r="803" spans="5:7" ht="13">
      <c r="E803" s="27"/>
      <c r="F803" s="27"/>
      <c r="G803" s="28"/>
    </row>
    <row r="804" spans="5:7" ht="13">
      <c r="E804" s="27"/>
      <c r="F804" s="27"/>
      <c r="G804" s="28"/>
    </row>
    <row r="805" spans="5:7" ht="13">
      <c r="E805" s="27"/>
      <c r="F805" s="27"/>
      <c r="G805" s="28"/>
    </row>
    <row r="806" spans="5:7" ht="13">
      <c r="E806" s="27"/>
      <c r="F806" s="27"/>
      <c r="G806" s="28"/>
    </row>
    <row r="807" spans="5:7" ht="13">
      <c r="E807" s="27"/>
      <c r="F807" s="27"/>
      <c r="G807" s="28"/>
    </row>
    <row r="808" spans="5:7" ht="13">
      <c r="E808" s="27"/>
      <c r="F808" s="27"/>
      <c r="G808" s="28"/>
    </row>
    <row r="809" spans="5:7" ht="13">
      <c r="E809" s="27"/>
      <c r="F809" s="27"/>
      <c r="G809" s="28"/>
    </row>
    <row r="810" spans="5:7" ht="13">
      <c r="E810" s="27"/>
      <c r="F810" s="27"/>
      <c r="G810" s="28"/>
    </row>
    <row r="811" spans="5:7" ht="13">
      <c r="E811" s="27"/>
      <c r="F811" s="27"/>
      <c r="G811" s="28"/>
    </row>
    <row r="812" spans="5:7" ht="13">
      <c r="E812" s="27"/>
      <c r="F812" s="27"/>
      <c r="G812" s="28"/>
    </row>
    <row r="813" spans="5:7" ht="13">
      <c r="E813" s="27"/>
      <c r="F813" s="27"/>
      <c r="G813" s="28"/>
    </row>
    <row r="814" spans="5:7" ht="13">
      <c r="E814" s="27"/>
      <c r="F814" s="27"/>
      <c r="G814" s="28"/>
    </row>
    <row r="815" spans="5:7" ht="13">
      <c r="E815" s="27"/>
      <c r="F815" s="27"/>
      <c r="G815" s="28"/>
    </row>
    <row r="816" spans="5:7" ht="13">
      <c r="E816" s="27"/>
      <c r="F816" s="27"/>
      <c r="G816" s="28"/>
    </row>
    <row r="817" spans="5:7" ht="13">
      <c r="E817" s="27"/>
      <c r="F817" s="27"/>
      <c r="G817" s="28"/>
    </row>
    <row r="818" spans="5:7" ht="13">
      <c r="E818" s="27"/>
      <c r="F818" s="27"/>
      <c r="G818" s="28"/>
    </row>
    <row r="819" spans="5:7" ht="13">
      <c r="E819" s="27"/>
      <c r="F819" s="27"/>
      <c r="G819" s="28"/>
    </row>
    <row r="820" spans="5:7" ht="13">
      <c r="E820" s="27"/>
      <c r="F820" s="27"/>
      <c r="G820" s="28"/>
    </row>
    <row r="821" spans="5:7" ht="13">
      <c r="E821" s="27"/>
      <c r="F821" s="27"/>
      <c r="G821" s="28"/>
    </row>
    <row r="822" spans="5:7" ht="13">
      <c r="E822" s="27"/>
      <c r="F822" s="27"/>
      <c r="G822" s="28"/>
    </row>
    <row r="823" spans="5:7" ht="13">
      <c r="E823" s="27"/>
      <c r="F823" s="27"/>
      <c r="G823" s="28"/>
    </row>
    <row r="824" spans="5:7" ht="13">
      <c r="E824" s="27"/>
      <c r="F824" s="27"/>
      <c r="G824" s="28"/>
    </row>
    <row r="825" spans="5:7" ht="13">
      <c r="E825" s="27"/>
      <c r="F825" s="27"/>
      <c r="G825" s="28"/>
    </row>
    <row r="826" spans="5:7" ht="13">
      <c r="E826" s="27"/>
      <c r="F826" s="27"/>
      <c r="G826" s="28"/>
    </row>
    <row r="827" spans="5:7" ht="13">
      <c r="E827" s="27"/>
      <c r="F827" s="27"/>
      <c r="G827" s="28"/>
    </row>
    <row r="828" spans="5:7" ht="13">
      <c r="E828" s="27"/>
      <c r="F828" s="27"/>
      <c r="G828" s="28"/>
    </row>
    <row r="829" spans="5:7" ht="13">
      <c r="E829" s="27"/>
      <c r="F829" s="27"/>
      <c r="G829" s="28"/>
    </row>
    <row r="830" spans="5:7" ht="13">
      <c r="E830" s="27"/>
      <c r="F830" s="27"/>
      <c r="G830" s="28"/>
    </row>
    <row r="831" spans="5:7" ht="13">
      <c r="E831" s="27"/>
      <c r="F831" s="27"/>
      <c r="G831" s="28"/>
    </row>
    <row r="832" spans="5:7" ht="13">
      <c r="E832" s="27"/>
      <c r="F832" s="27"/>
      <c r="G832" s="28"/>
    </row>
    <row r="833" spans="5:7" ht="13">
      <c r="E833" s="27"/>
      <c r="F833" s="27"/>
      <c r="G833" s="28"/>
    </row>
    <row r="834" spans="5:7" ht="13">
      <c r="E834" s="27"/>
      <c r="F834" s="27"/>
      <c r="G834" s="28"/>
    </row>
    <row r="835" spans="5:7" ht="13">
      <c r="E835" s="27"/>
      <c r="F835" s="27"/>
      <c r="G835" s="28"/>
    </row>
    <row r="836" spans="5:7" ht="13">
      <c r="E836" s="27"/>
      <c r="F836" s="27"/>
      <c r="G836" s="28"/>
    </row>
    <row r="837" spans="5:7" ht="13">
      <c r="E837" s="27"/>
      <c r="F837" s="27"/>
      <c r="G837" s="28"/>
    </row>
    <row r="838" spans="5:7" ht="13">
      <c r="E838" s="27"/>
      <c r="F838" s="27"/>
      <c r="G838" s="28"/>
    </row>
    <row r="839" spans="5:7" ht="13">
      <c r="E839" s="27"/>
      <c r="F839" s="27"/>
      <c r="G839" s="28"/>
    </row>
    <row r="840" spans="5:7" ht="13">
      <c r="E840" s="27"/>
      <c r="F840" s="27"/>
      <c r="G840" s="28"/>
    </row>
    <row r="841" spans="5:7" ht="13">
      <c r="E841" s="27"/>
      <c r="F841" s="27"/>
      <c r="G841" s="28"/>
    </row>
    <row r="842" spans="5:7" ht="13">
      <c r="E842" s="27"/>
      <c r="F842" s="27"/>
      <c r="G842" s="28"/>
    </row>
    <row r="843" spans="5:7" ht="13">
      <c r="E843" s="27"/>
      <c r="F843" s="27"/>
      <c r="G843" s="28"/>
    </row>
    <row r="844" spans="5:7" ht="13">
      <c r="E844" s="27"/>
      <c r="F844" s="27"/>
      <c r="G844" s="28"/>
    </row>
    <row r="845" spans="5:7" ht="13">
      <c r="E845" s="27"/>
      <c r="F845" s="27"/>
      <c r="G845" s="28"/>
    </row>
    <row r="846" spans="5:7" ht="13">
      <c r="E846" s="27"/>
      <c r="F846" s="27"/>
      <c r="G846" s="28"/>
    </row>
    <row r="847" spans="5:7" ht="13">
      <c r="E847" s="27"/>
      <c r="F847" s="27"/>
      <c r="G847" s="28"/>
    </row>
    <row r="848" spans="5:7" ht="13">
      <c r="E848" s="27"/>
      <c r="F848" s="27"/>
      <c r="G848" s="28"/>
    </row>
    <row r="849" spans="5:7" ht="13">
      <c r="E849" s="27"/>
      <c r="F849" s="27"/>
      <c r="G849" s="28"/>
    </row>
    <row r="850" spans="5:7" ht="13">
      <c r="E850" s="27"/>
      <c r="F850" s="27"/>
      <c r="G850" s="28"/>
    </row>
    <row r="851" spans="5:7" ht="13">
      <c r="E851" s="27"/>
      <c r="F851" s="27"/>
      <c r="G851" s="28"/>
    </row>
    <row r="852" spans="5:7" ht="13">
      <c r="E852" s="27"/>
      <c r="F852" s="27"/>
      <c r="G852" s="28"/>
    </row>
    <row r="853" spans="5:7" ht="13">
      <c r="E853" s="27"/>
      <c r="F853" s="27"/>
      <c r="G853" s="28"/>
    </row>
    <row r="854" spans="5:7" ht="13">
      <c r="E854" s="27"/>
      <c r="F854" s="27"/>
      <c r="G854" s="28"/>
    </row>
    <row r="855" spans="5:7" ht="13">
      <c r="E855" s="27"/>
      <c r="F855" s="27"/>
      <c r="G855" s="28"/>
    </row>
    <row r="856" spans="5:7" ht="13">
      <c r="E856" s="27"/>
      <c r="F856" s="27"/>
      <c r="G856" s="28"/>
    </row>
    <row r="857" spans="5:7" ht="13">
      <c r="E857" s="27"/>
      <c r="F857" s="27"/>
      <c r="G857" s="28"/>
    </row>
    <row r="858" spans="5:7" ht="13">
      <c r="E858" s="27"/>
      <c r="F858" s="27"/>
      <c r="G858" s="28"/>
    </row>
    <row r="859" spans="5:7" ht="13">
      <c r="E859" s="27"/>
      <c r="F859" s="27"/>
      <c r="G859" s="28"/>
    </row>
    <row r="860" spans="5:7" ht="13">
      <c r="E860" s="27"/>
      <c r="F860" s="27"/>
      <c r="G860" s="28"/>
    </row>
    <row r="861" spans="5:7" ht="13">
      <c r="E861" s="27"/>
      <c r="F861" s="27"/>
      <c r="G861" s="28"/>
    </row>
    <row r="862" spans="5:7" ht="13">
      <c r="E862" s="27"/>
      <c r="F862" s="27"/>
      <c r="G862" s="28"/>
    </row>
    <row r="863" spans="5:7" ht="13">
      <c r="E863" s="27"/>
      <c r="F863" s="27"/>
      <c r="G863" s="28"/>
    </row>
    <row r="864" spans="5:7" ht="13">
      <c r="E864" s="27"/>
      <c r="F864" s="27"/>
      <c r="G864" s="28"/>
    </row>
    <row r="865" spans="5:7" ht="13">
      <c r="E865" s="27"/>
      <c r="F865" s="27"/>
      <c r="G865" s="28"/>
    </row>
    <row r="866" spans="5:7" ht="13">
      <c r="E866" s="27"/>
      <c r="F866" s="27"/>
      <c r="G866" s="28"/>
    </row>
    <row r="867" spans="5:7" ht="13">
      <c r="E867" s="27"/>
      <c r="F867" s="27"/>
      <c r="G867" s="28"/>
    </row>
    <row r="868" spans="5:7" ht="13">
      <c r="E868" s="27"/>
      <c r="F868" s="27"/>
      <c r="G868" s="28"/>
    </row>
    <row r="869" spans="5:7" ht="13">
      <c r="E869" s="27"/>
      <c r="F869" s="27"/>
      <c r="G869" s="28"/>
    </row>
    <row r="870" spans="5:7" ht="13">
      <c r="E870" s="27"/>
      <c r="F870" s="27"/>
      <c r="G870" s="28"/>
    </row>
    <row r="871" spans="5:7" ht="13">
      <c r="E871" s="27"/>
      <c r="F871" s="27"/>
      <c r="G871" s="28"/>
    </row>
    <row r="872" spans="5:7" ht="13">
      <c r="E872" s="27"/>
      <c r="F872" s="27"/>
      <c r="G872" s="28"/>
    </row>
    <row r="873" spans="5:7" ht="13">
      <c r="E873" s="27"/>
      <c r="F873" s="27"/>
      <c r="G873" s="28"/>
    </row>
    <row r="874" spans="5:7" ht="13">
      <c r="E874" s="27"/>
      <c r="F874" s="27"/>
      <c r="G874" s="28"/>
    </row>
    <row r="875" spans="5:7" ht="13">
      <c r="E875" s="27"/>
      <c r="F875" s="27"/>
      <c r="G875" s="28"/>
    </row>
    <row r="876" spans="5:7" ht="13">
      <c r="E876" s="27"/>
      <c r="F876" s="27"/>
      <c r="G876" s="28"/>
    </row>
    <row r="877" spans="5:7" ht="13">
      <c r="E877" s="27"/>
      <c r="F877" s="27"/>
      <c r="G877" s="28"/>
    </row>
    <row r="878" spans="5:7" ht="13">
      <c r="E878" s="27"/>
      <c r="F878" s="27"/>
      <c r="G878" s="28"/>
    </row>
    <row r="879" spans="5:7" ht="13">
      <c r="E879" s="27"/>
      <c r="F879" s="27"/>
      <c r="G879" s="28"/>
    </row>
    <row r="880" spans="5:7" ht="13">
      <c r="E880" s="27"/>
      <c r="F880" s="27"/>
      <c r="G880" s="28"/>
    </row>
    <row r="881" spans="5:7" ht="13">
      <c r="E881" s="27"/>
      <c r="F881" s="27"/>
      <c r="G881" s="28"/>
    </row>
    <row r="882" spans="5:7" ht="13">
      <c r="E882" s="27"/>
      <c r="F882" s="27"/>
      <c r="G882" s="28"/>
    </row>
    <row r="883" spans="5:7" ht="13">
      <c r="E883" s="27"/>
      <c r="F883" s="27"/>
      <c r="G883" s="28"/>
    </row>
    <row r="884" spans="5:7" ht="13">
      <c r="E884" s="27"/>
      <c r="F884" s="27"/>
      <c r="G884" s="28"/>
    </row>
    <row r="885" spans="5:7" ht="13">
      <c r="E885" s="27"/>
      <c r="F885" s="27"/>
      <c r="G885" s="28"/>
    </row>
    <row r="886" spans="5:7" ht="13">
      <c r="E886" s="27"/>
      <c r="F886" s="27"/>
      <c r="G886" s="28"/>
    </row>
    <row r="887" spans="5:7" ht="13">
      <c r="E887" s="27"/>
      <c r="F887" s="27"/>
      <c r="G887" s="28"/>
    </row>
    <row r="888" spans="5:7" ht="13">
      <c r="E888" s="27"/>
      <c r="F888" s="27"/>
      <c r="G888" s="28"/>
    </row>
    <row r="889" spans="5:7" ht="13">
      <c r="E889" s="27"/>
      <c r="F889" s="27"/>
      <c r="G889" s="28"/>
    </row>
    <row r="890" spans="5:7" ht="13">
      <c r="E890" s="27"/>
      <c r="F890" s="27"/>
      <c r="G890" s="28"/>
    </row>
    <row r="891" spans="5:7" ht="13">
      <c r="E891" s="27"/>
      <c r="F891" s="27"/>
      <c r="G891" s="28"/>
    </row>
    <row r="892" spans="5:7" ht="13">
      <c r="E892" s="27"/>
      <c r="F892" s="27"/>
      <c r="G892" s="28"/>
    </row>
    <row r="893" spans="5:7" ht="13">
      <c r="E893" s="27"/>
      <c r="F893" s="27"/>
      <c r="G893" s="28"/>
    </row>
    <row r="894" spans="5:7" ht="13">
      <c r="E894" s="27"/>
      <c r="F894" s="27"/>
      <c r="G894" s="28"/>
    </row>
    <row r="895" spans="5:7" ht="13">
      <c r="E895" s="27"/>
      <c r="F895" s="27"/>
      <c r="G895" s="28"/>
    </row>
    <row r="896" spans="5:7" ht="13">
      <c r="E896" s="27"/>
      <c r="F896" s="27"/>
      <c r="G896" s="28"/>
    </row>
    <row r="897" spans="5:7" ht="13">
      <c r="E897" s="27"/>
      <c r="F897" s="27"/>
      <c r="G897" s="28"/>
    </row>
    <row r="898" spans="5:7" ht="13">
      <c r="E898" s="27"/>
      <c r="F898" s="27"/>
      <c r="G898" s="28"/>
    </row>
    <row r="899" spans="5:7" ht="13">
      <c r="E899" s="27"/>
      <c r="F899" s="27"/>
      <c r="G899" s="28"/>
    </row>
    <row r="900" spans="5:7" ht="13">
      <c r="E900" s="27"/>
      <c r="F900" s="27"/>
      <c r="G900" s="28"/>
    </row>
    <row r="901" spans="5:7" ht="13">
      <c r="E901" s="27"/>
      <c r="F901" s="27"/>
      <c r="G901" s="28"/>
    </row>
    <row r="902" spans="5:7" ht="13">
      <c r="E902" s="27"/>
      <c r="F902" s="27"/>
      <c r="G902" s="28"/>
    </row>
    <row r="903" spans="5:7" ht="13">
      <c r="E903" s="27"/>
      <c r="F903" s="27"/>
      <c r="G903" s="28"/>
    </row>
    <row r="904" spans="5:7" ht="13">
      <c r="E904" s="27"/>
      <c r="F904" s="27"/>
      <c r="G904" s="28"/>
    </row>
    <row r="905" spans="5:7" ht="13">
      <c r="E905" s="27"/>
      <c r="F905" s="27"/>
      <c r="G905" s="28"/>
    </row>
    <row r="906" spans="5:7" ht="13">
      <c r="E906" s="27"/>
      <c r="F906" s="27"/>
      <c r="G906" s="28"/>
    </row>
    <row r="907" spans="5:7" ht="13">
      <c r="E907" s="27"/>
      <c r="F907" s="27"/>
      <c r="G907" s="28"/>
    </row>
    <row r="908" spans="5:7" ht="13">
      <c r="E908" s="27"/>
      <c r="F908" s="27"/>
      <c r="G908" s="28"/>
    </row>
    <row r="909" spans="5:7" ht="13">
      <c r="E909" s="27"/>
      <c r="F909" s="27"/>
      <c r="G909" s="28"/>
    </row>
    <row r="910" spans="5:7" ht="13">
      <c r="E910" s="27"/>
      <c r="F910" s="27"/>
      <c r="G910" s="28"/>
    </row>
    <row r="911" spans="5:7" ht="13">
      <c r="E911" s="27"/>
      <c r="F911" s="27"/>
      <c r="G911" s="28"/>
    </row>
    <row r="912" spans="5:7" ht="13">
      <c r="E912" s="27"/>
      <c r="F912" s="27"/>
      <c r="G912" s="28"/>
    </row>
    <row r="913" spans="5:7" ht="13">
      <c r="E913" s="27"/>
      <c r="F913" s="27"/>
      <c r="G913" s="28"/>
    </row>
    <row r="914" spans="5:7" ht="13">
      <c r="E914" s="27"/>
      <c r="F914" s="27"/>
      <c r="G914" s="28"/>
    </row>
    <row r="915" spans="5:7" ht="13">
      <c r="E915" s="27"/>
      <c r="F915" s="27"/>
      <c r="G915" s="28"/>
    </row>
    <row r="916" spans="5:7" ht="13">
      <c r="E916" s="27"/>
      <c r="F916" s="27"/>
      <c r="G916" s="28"/>
    </row>
    <row r="917" spans="5:7" ht="13">
      <c r="E917" s="27"/>
      <c r="F917" s="27"/>
      <c r="G917" s="28"/>
    </row>
    <row r="918" spans="5:7" ht="13">
      <c r="E918" s="27"/>
      <c r="F918" s="27"/>
      <c r="G918" s="28"/>
    </row>
    <row r="919" spans="5:7" ht="13">
      <c r="E919" s="27"/>
      <c r="F919" s="27"/>
      <c r="G919" s="28"/>
    </row>
    <row r="920" spans="5:7" ht="13">
      <c r="E920" s="27"/>
      <c r="F920" s="27"/>
      <c r="G920" s="28"/>
    </row>
    <row r="921" spans="5:7" ht="13">
      <c r="E921" s="27"/>
      <c r="F921" s="27"/>
      <c r="G921" s="28"/>
    </row>
    <row r="922" spans="5:7" ht="13">
      <c r="E922" s="27"/>
      <c r="F922" s="27"/>
      <c r="G922" s="28"/>
    </row>
    <row r="923" spans="5:7" ht="13">
      <c r="E923" s="27"/>
      <c r="F923" s="27"/>
      <c r="G923" s="28"/>
    </row>
    <row r="924" spans="5:7" ht="13">
      <c r="E924" s="27"/>
      <c r="F924" s="27"/>
      <c r="G924" s="28"/>
    </row>
    <row r="925" spans="5:7" ht="13">
      <c r="E925" s="27"/>
      <c r="F925" s="27"/>
      <c r="G925" s="28"/>
    </row>
    <row r="926" spans="5:7" ht="13">
      <c r="E926" s="27"/>
      <c r="F926" s="27"/>
      <c r="G926" s="28"/>
    </row>
    <row r="927" spans="5:7" ht="13">
      <c r="E927" s="27"/>
      <c r="F927" s="27"/>
      <c r="G927" s="28"/>
    </row>
    <row r="928" spans="5:7" ht="13">
      <c r="E928" s="27"/>
      <c r="F928" s="27"/>
      <c r="G928" s="28"/>
    </row>
    <row r="929" spans="5:7" ht="13">
      <c r="E929" s="27"/>
      <c r="F929" s="27"/>
      <c r="G929" s="28"/>
    </row>
    <row r="930" spans="5:7" ht="13">
      <c r="E930" s="27"/>
      <c r="F930" s="27"/>
      <c r="G930" s="28"/>
    </row>
    <row r="931" spans="5:7" ht="13">
      <c r="E931" s="27"/>
      <c r="F931" s="27"/>
      <c r="G931" s="28"/>
    </row>
    <row r="932" spans="5:7" ht="13">
      <c r="E932" s="27"/>
      <c r="F932" s="27"/>
      <c r="G932" s="28"/>
    </row>
    <row r="933" spans="5:7" ht="13">
      <c r="E933" s="27"/>
      <c r="F933" s="27"/>
      <c r="G933" s="28"/>
    </row>
    <row r="934" spans="5:7" ht="13">
      <c r="E934" s="27"/>
      <c r="F934" s="27"/>
      <c r="G934" s="28"/>
    </row>
    <row r="935" spans="5:7" ht="13">
      <c r="E935" s="27"/>
      <c r="F935" s="27"/>
      <c r="G935" s="28"/>
    </row>
    <row r="936" spans="5:7" ht="13">
      <c r="E936" s="27"/>
      <c r="F936" s="27"/>
      <c r="G936" s="28"/>
    </row>
    <row r="937" spans="5:7" ht="13">
      <c r="E937" s="27"/>
      <c r="F937" s="27"/>
      <c r="G937" s="28"/>
    </row>
    <row r="938" spans="5:7" ht="13">
      <c r="E938" s="27"/>
      <c r="F938" s="27"/>
      <c r="G938" s="28"/>
    </row>
    <row r="939" spans="5:7" ht="13">
      <c r="E939" s="27"/>
      <c r="F939" s="27"/>
      <c r="G939" s="28"/>
    </row>
    <row r="940" spans="5:7" ht="13">
      <c r="E940" s="27"/>
      <c r="F940" s="27"/>
      <c r="G940" s="28"/>
    </row>
    <row r="941" spans="5:7" ht="13">
      <c r="E941" s="27"/>
      <c r="F941" s="27"/>
      <c r="G941" s="28"/>
    </row>
    <row r="942" spans="5:7" ht="13">
      <c r="E942" s="27"/>
      <c r="F942" s="27"/>
      <c r="G942" s="28"/>
    </row>
    <row r="943" spans="5:7" ht="13">
      <c r="E943" s="27"/>
      <c r="F943" s="27"/>
      <c r="G943" s="28"/>
    </row>
    <row r="944" spans="5:7" ht="13">
      <c r="E944" s="27"/>
      <c r="F944" s="27"/>
      <c r="G944" s="28"/>
    </row>
    <row r="945" spans="5:7" ht="13">
      <c r="E945" s="27"/>
      <c r="F945" s="27"/>
      <c r="G945" s="28"/>
    </row>
    <row r="946" spans="5:7" ht="13">
      <c r="E946" s="27"/>
      <c r="F946" s="27"/>
      <c r="G946" s="28"/>
    </row>
    <row r="947" spans="5:7" ht="13">
      <c r="E947" s="27"/>
      <c r="F947" s="27"/>
      <c r="G947" s="28"/>
    </row>
    <row r="948" spans="5:7" ht="13">
      <c r="E948" s="27"/>
      <c r="F948" s="27"/>
      <c r="G948" s="28"/>
    </row>
    <row r="949" spans="5:7" ht="13">
      <c r="E949" s="27"/>
      <c r="F949" s="27"/>
      <c r="G949" s="28"/>
    </row>
    <row r="950" spans="5:7" ht="13">
      <c r="E950" s="27"/>
      <c r="F950" s="27"/>
      <c r="G950" s="28"/>
    </row>
    <row r="951" spans="5:7" ht="13">
      <c r="E951" s="27"/>
      <c r="F951" s="27"/>
      <c r="G951" s="28"/>
    </row>
    <row r="952" spans="5:7" ht="13">
      <c r="E952" s="27"/>
      <c r="F952" s="27"/>
      <c r="G952" s="28"/>
    </row>
    <row r="953" spans="5:7" ht="13">
      <c r="E953" s="27"/>
      <c r="F953" s="27"/>
      <c r="G953" s="28"/>
    </row>
    <row r="954" spans="5:7" ht="13">
      <c r="E954" s="27"/>
      <c r="F954" s="27"/>
      <c r="G954" s="28"/>
    </row>
    <row r="955" spans="5:7" ht="13">
      <c r="E955" s="27"/>
      <c r="F955" s="27"/>
      <c r="G955" s="28"/>
    </row>
    <row r="956" spans="5:7" ht="13">
      <c r="E956" s="27"/>
      <c r="F956" s="27"/>
      <c r="G956" s="28"/>
    </row>
    <row r="957" spans="5:7" ht="13">
      <c r="E957" s="27"/>
      <c r="F957" s="27"/>
      <c r="G957" s="28"/>
    </row>
    <row r="958" spans="5:7" ht="13">
      <c r="E958" s="27"/>
      <c r="F958" s="27"/>
      <c r="G958" s="28"/>
    </row>
    <row r="959" spans="5:7" ht="13">
      <c r="E959" s="27"/>
      <c r="F959" s="27"/>
      <c r="G959" s="28"/>
    </row>
    <row r="960" spans="5:7" ht="13">
      <c r="E960" s="27"/>
      <c r="F960" s="27"/>
      <c r="G960" s="28"/>
    </row>
    <row r="961" spans="5:7" ht="13">
      <c r="E961" s="27"/>
      <c r="F961" s="27"/>
      <c r="G961" s="28"/>
    </row>
    <row r="962" spans="5:7" ht="13">
      <c r="E962" s="27"/>
      <c r="F962" s="27"/>
      <c r="G962" s="28"/>
    </row>
    <row r="963" spans="5:7" ht="13">
      <c r="E963" s="27"/>
      <c r="F963" s="27"/>
      <c r="G963" s="28"/>
    </row>
    <row r="964" spans="5:7" ht="13">
      <c r="E964" s="27"/>
      <c r="F964" s="27"/>
      <c r="G964" s="28"/>
    </row>
    <row r="965" spans="5:7" ht="13">
      <c r="E965" s="27"/>
      <c r="F965" s="27"/>
      <c r="G965" s="28"/>
    </row>
    <row r="966" spans="5:7" ht="13">
      <c r="E966" s="27"/>
      <c r="F966" s="27"/>
      <c r="G966" s="28"/>
    </row>
    <row r="967" spans="5:7" ht="13">
      <c r="E967" s="27"/>
      <c r="F967" s="27"/>
      <c r="G967" s="28"/>
    </row>
    <row r="968" spans="5:7" ht="13">
      <c r="E968" s="27"/>
      <c r="F968" s="27"/>
      <c r="G968" s="28"/>
    </row>
    <row r="969" spans="5:7" ht="13">
      <c r="E969" s="27"/>
      <c r="F969" s="27"/>
      <c r="G969" s="28"/>
    </row>
    <row r="970" spans="5:7" ht="13">
      <c r="E970" s="27"/>
      <c r="F970" s="27"/>
      <c r="G970" s="28"/>
    </row>
    <row r="971" spans="5:7" ht="13">
      <c r="E971" s="27"/>
      <c r="F971" s="27"/>
      <c r="G971" s="28"/>
    </row>
    <row r="972" spans="5:7" ht="13">
      <c r="E972" s="27"/>
      <c r="F972" s="27"/>
      <c r="G972" s="28"/>
    </row>
    <row r="973" spans="5:7" ht="13">
      <c r="E973" s="27"/>
      <c r="F973" s="27"/>
      <c r="G973" s="28"/>
    </row>
    <row r="974" spans="5:7" ht="13">
      <c r="E974" s="27"/>
      <c r="F974" s="27"/>
      <c r="G974" s="28"/>
    </row>
    <row r="975" spans="5:7" ht="13">
      <c r="E975" s="27"/>
      <c r="F975" s="27"/>
      <c r="G975" s="28"/>
    </row>
    <row r="976" spans="5:7" ht="13">
      <c r="E976" s="27"/>
      <c r="F976" s="27"/>
      <c r="G976" s="28"/>
    </row>
    <row r="977" spans="5:7" ht="13">
      <c r="E977" s="27"/>
      <c r="F977" s="27"/>
      <c r="G977" s="28"/>
    </row>
    <row r="978" spans="5:7" ht="13">
      <c r="E978" s="27"/>
      <c r="F978" s="27"/>
      <c r="G978" s="28"/>
    </row>
    <row r="979" spans="5:7" ht="13">
      <c r="E979" s="27"/>
      <c r="F979" s="27"/>
      <c r="G979" s="28"/>
    </row>
    <row r="980" spans="5:7" ht="13">
      <c r="E980" s="27"/>
      <c r="F980" s="27"/>
      <c r="G980" s="28"/>
    </row>
    <row r="981" spans="5:7" ht="13">
      <c r="E981" s="27"/>
      <c r="F981" s="27"/>
      <c r="G981" s="28"/>
    </row>
    <row r="982" spans="5:7" ht="13">
      <c r="E982" s="27"/>
      <c r="F982" s="27"/>
      <c r="G982" s="28"/>
    </row>
    <row r="983" spans="5:7" ht="13">
      <c r="E983" s="27"/>
      <c r="F983" s="27"/>
      <c r="G983" s="28"/>
    </row>
    <row r="984" spans="5:7" ht="13">
      <c r="E984" s="27"/>
      <c r="F984" s="27"/>
      <c r="G984" s="28"/>
    </row>
    <row r="985" spans="5:7" ht="13">
      <c r="E985" s="27"/>
      <c r="F985" s="27"/>
      <c r="G985" s="28"/>
    </row>
    <row r="986" spans="5:7" ht="13">
      <c r="E986" s="27"/>
      <c r="F986" s="27"/>
      <c r="G986" s="28"/>
    </row>
    <row r="987" spans="5:7" ht="13">
      <c r="E987" s="27"/>
      <c r="F987" s="27"/>
      <c r="G987" s="28"/>
    </row>
    <row r="988" spans="5:7" ht="13">
      <c r="E988" s="27"/>
      <c r="F988" s="27"/>
      <c r="G988" s="28"/>
    </row>
    <row r="989" spans="5:7" ht="13">
      <c r="E989" s="27"/>
      <c r="F989" s="27"/>
      <c r="G989" s="28"/>
    </row>
    <row r="990" spans="5:7" ht="13">
      <c r="E990" s="27"/>
      <c r="F990" s="27"/>
      <c r="G990" s="28"/>
    </row>
    <row r="991" spans="5:7" ht="13">
      <c r="E991" s="27"/>
      <c r="F991" s="27"/>
      <c r="G991" s="28"/>
    </row>
    <row r="992" spans="5:7" ht="13">
      <c r="E992" s="27"/>
      <c r="F992" s="27"/>
      <c r="G992" s="28"/>
    </row>
    <row r="993" spans="5:7" ht="13">
      <c r="E993" s="27"/>
      <c r="F993" s="27"/>
      <c r="G993" s="28"/>
    </row>
    <row r="994" spans="5:7" ht="13">
      <c r="E994" s="27"/>
      <c r="F994" s="27"/>
      <c r="G994" s="28"/>
    </row>
    <row r="995" spans="5:7" ht="13">
      <c r="E995" s="27"/>
      <c r="F995" s="27"/>
      <c r="G995" s="28"/>
    </row>
    <row r="996" spans="5:7" ht="13">
      <c r="E996" s="27"/>
      <c r="F996" s="27"/>
      <c r="G996" s="28"/>
    </row>
    <row r="997" spans="5:7" ht="13">
      <c r="E997" s="27"/>
      <c r="F997" s="27"/>
      <c r="G997" s="28"/>
    </row>
    <row r="998" spans="5:7" ht="13">
      <c r="E998" s="27"/>
      <c r="F998" s="27"/>
      <c r="G998" s="28"/>
    </row>
    <row r="999" spans="5:7" ht="13">
      <c r="E999" s="27"/>
      <c r="F999" s="27"/>
      <c r="G999" s="28"/>
    </row>
    <row r="1000" spans="5:7" ht="13">
      <c r="E1000" s="27"/>
      <c r="F1000" s="27"/>
      <c r="G1000" s="28"/>
    </row>
    <row r="1001" spans="5:7" ht="13">
      <c r="E1001" s="27"/>
      <c r="F1001" s="27"/>
      <c r="G1001" s="28"/>
    </row>
    <row r="1002" spans="5:7" ht="13">
      <c r="E1002" s="27"/>
      <c r="F1002" s="27"/>
      <c r="G1002" s="28"/>
    </row>
    <row r="1003" spans="5:7" ht="13">
      <c r="E1003" s="27"/>
      <c r="F1003" s="27"/>
      <c r="G1003" s="28"/>
    </row>
    <row r="1004" spans="5:7" ht="13">
      <c r="E1004" s="27"/>
      <c r="F1004" s="27"/>
      <c r="G1004" s="28"/>
    </row>
    <row r="1005" spans="5:7" ht="13">
      <c r="E1005" s="27"/>
      <c r="F1005" s="27"/>
      <c r="G1005" s="28"/>
    </row>
    <row r="1006" spans="5:7" ht="13">
      <c r="E1006" s="27"/>
      <c r="F1006" s="27"/>
      <c r="G1006" s="28"/>
    </row>
    <row r="1007" spans="5:7" ht="13">
      <c r="E1007" s="27"/>
      <c r="F1007" s="27"/>
      <c r="G1007" s="28"/>
    </row>
    <row r="1008" spans="5:7" ht="13">
      <c r="E1008" s="27"/>
      <c r="F1008" s="27"/>
      <c r="G1008" s="28"/>
    </row>
    <row r="1009" spans="5:7" ht="13">
      <c r="E1009" s="27"/>
      <c r="F1009" s="27"/>
      <c r="G1009" s="28"/>
    </row>
    <row r="1010" spans="5:7" ht="13">
      <c r="E1010" s="27"/>
      <c r="F1010" s="27"/>
      <c r="G1010" s="28"/>
    </row>
    <row r="1011" spans="5:7" ht="13">
      <c r="E1011" s="27"/>
      <c r="F1011" s="27"/>
      <c r="G1011" s="28"/>
    </row>
    <row r="1012" spans="5:7" ht="13">
      <c r="E1012" s="27"/>
      <c r="F1012" s="27"/>
      <c r="G1012" s="28"/>
    </row>
    <row r="1013" spans="5:7" ht="13">
      <c r="E1013" s="27"/>
      <c r="F1013" s="27"/>
      <c r="G1013" s="28"/>
    </row>
    <row r="1014" spans="5:7" ht="13">
      <c r="E1014" s="27"/>
      <c r="F1014" s="27"/>
      <c r="G1014" s="28"/>
    </row>
    <row r="1015" spans="5:7" ht="13">
      <c r="E1015" s="27"/>
      <c r="F1015" s="27"/>
      <c r="G1015" s="28"/>
    </row>
  </sheetData>
  <dataValidations count="2">
    <dataValidation type="custom" allowBlank="1" showDropDown="1" showInputMessage="1" prompt="Enter a valid date" sqref="E2:F84" xr:uid="{00000000-0002-0000-0300-000000000000}">
      <formula1>OR(NOT(ISERROR(DATEVALUE(E2))), AND(ISNUMBER(E2), LEFT(CELL("format", E2))="D"))</formula1>
    </dataValidation>
    <dataValidation type="list" allowBlank="1" sqref="H2:H84" xr:uid="{00000000-0002-0000-0300-000001000000}">
      <formula1>"Active,Paid,Write Off"</formula1>
    </dataValidation>
  </dataValidation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0"/>
  <sheetViews>
    <sheetView workbookViewId="0">
      <pane ySplit="1" topLeftCell="A2" activePane="bottomLeft" state="frozen"/>
      <selection pane="bottomLeft" activeCell="B3" sqref="B3"/>
    </sheetView>
  </sheetViews>
  <sheetFormatPr baseColWidth="10" defaultColWidth="12.6640625" defaultRowHeight="15.75" customHeight="1"/>
  <cols>
    <col min="1" max="1" width="4.6640625" customWidth="1"/>
    <col min="2" max="2" width="18.33203125" customWidth="1"/>
    <col min="3" max="3" width="16" customWidth="1"/>
    <col min="4" max="4" width="11" customWidth="1"/>
    <col min="5" max="5" width="11.33203125" customWidth="1"/>
    <col min="6" max="6" width="22.1640625" customWidth="1"/>
    <col min="8" max="8" width="9" customWidth="1"/>
    <col min="9" max="9" width="12.1640625" customWidth="1"/>
  </cols>
  <sheetData>
    <row r="1" spans="1:9" ht="22.5" customHeight="1">
      <c r="A1" s="1" t="s">
        <v>69</v>
      </c>
      <c r="B1" s="1" t="s">
        <v>98</v>
      </c>
      <c r="C1" s="1" t="s">
        <v>99</v>
      </c>
      <c r="D1" s="1" t="s">
        <v>100</v>
      </c>
      <c r="E1" s="1" t="s">
        <v>70</v>
      </c>
      <c r="F1" s="1" t="s">
        <v>82</v>
      </c>
      <c r="H1" s="29" t="s">
        <v>55</v>
      </c>
      <c r="I1" s="29">
        <f>SUM(E2:E149)</f>
        <v>145000</v>
      </c>
    </row>
    <row r="2" spans="1:9" ht="22.5" customHeight="1">
      <c r="A2" s="24">
        <v>1</v>
      </c>
      <c r="B2" s="24" t="s">
        <v>9</v>
      </c>
      <c r="C2" s="24" t="s">
        <v>101</v>
      </c>
      <c r="E2" s="24">
        <v>30000</v>
      </c>
      <c r="F2" s="24" t="s">
        <v>102</v>
      </c>
    </row>
    <row r="3" spans="1:9" ht="22.5" customHeight="1">
      <c r="A3" s="24">
        <v>2</v>
      </c>
      <c r="B3" s="24" t="s">
        <v>103</v>
      </c>
      <c r="C3" s="24" t="s">
        <v>104</v>
      </c>
      <c r="E3" s="24">
        <v>10000</v>
      </c>
      <c r="F3" s="24" t="s">
        <v>102</v>
      </c>
    </row>
    <row r="4" spans="1:9" ht="22.5" customHeight="1">
      <c r="A4" s="24">
        <v>3</v>
      </c>
      <c r="B4" s="24" t="s">
        <v>105</v>
      </c>
      <c r="E4" s="24">
        <v>30000</v>
      </c>
      <c r="F4" s="24" t="s">
        <v>106</v>
      </c>
    </row>
    <row r="5" spans="1:9" ht="22.5" customHeight="1">
      <c r="A5" s="24">
        <v>4</v>
      </c>
      <c r="B5" s="24" t="s">
        <v>107</v>
      </c>
      <c r="C5" s="24" t="s">
        <v>108</v>
      </c>
      <c r="E5" s="24">
        <v>25000</v>
      </c>
      <c r="F5" s="24" t="s">
        <v>102</v>
      </c>
    </row>
    <row r="6" spans="1:9" ht="22.5" customHeight="1">
      <c r="A6" s="24">
        <v>5</v>
      </c>
      <c r="B6" s="24" t="s">
        <v>109</v>
      </c>
      <c r="C6" s="24" t="s">
        <v>110</v>
      </c>
      <c r="E6" s="24">
        <v>20000</v>
      </c>
      <c r="F6" s="24" t="s">
        <v>102</v>
      </c>
    </row>
    <row r="7" spans="1:9" ht="22.5" customHeight="1">
      <c r="A7" s="24">
        <v>7</v>
      </c>
      <c r="B7" s="24" t="s">
        <v>111</v>
      </c>
      <c r="C7" s="24" t="s">
        <v>112</v>
      </c>
      <c r="E7" s="24">
        <v>20000</v>
      </c>
      <c r="F7" s="24" t="s">
        <v>113</v>
      </c>
    </row>
    <row r="8" spans="1:9" ht="22.5" customHeight="1">
      <c r="A8" s="24">
        <v>8</v>
      </c>
      <c r="C8" s="24" t="s">
        <v>114</v>
      </c>
      <c r="D8" s="30">
        <v>45453</v>
      </c>
      <c r="E8" s="24">
        <v>10000</v>
      </c>
      <c r="F8" s="24" t="s">
        <v>102</v>
      </c>
    </row>
    <row r="9" spans="1:9" ht="22.5" customHeight="1"/>
    <row r="10" spans="1:9" ht="22.5" customHeight="1"/>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3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7.83203125" customWidth="1"/>
    <col min="2" max="3" width="8.1640625" customWidth="1"/>
    <col min="4" max="4" width="8.33203125" customWidth="1"/>
    <col min="5" max="5" width="8.1640625" customWidth="1"/>
    <col min="6" max="6" width="8.6640625" customWidth="1"/>
    <col min="7" max="7" width="8.1640625" customWidth="1"/>
    <col min="8" max="8" width="8.5" customWidth="1"/>
    <col min="9" max="9" width="8.33203125" customWidth="1"/>
    <col min="10" max="11" width="8.1640625" customWidth="1"/>
    <col min="12" max="13" width="8.33203125" customWidth="1"/>
    <col min="14" max="14" width="9.1640625" customWidth="1"/>
  </cols>
  <sheetData>
    <row r="1" spans="1:14" ht="22.5" customHeight="1">
      <c r="A1" s="1" t="s">
        <v>54</v>
      </c>
      <c r="B1" s="1" t="s">
        <v>115</v>
      </c>
      <c r="C1" s="1" t="s">
        <v>116</v>
      </c>
      <c r="D1" s="1" t="s">
        <v>117</v>
      </c>
      <c r="E1" s="1" t="s">
        <v>118</v>
      </c>
      <c r="F1" s="1" t="s">
        <v>119</v>
      </c>
      <c r="G1" s="1" t="s">
        <v>120</v>
      </c>
      <c r="H1" s="1" t="s">
        <v>121</v>
      </c>
      <c r="I1" s="1" t="s">
        <v>122</v>
      </c>
      <c r="J1" s="1" t="s">
        <v>123</v>
      </c>
      <c r="K1" s="1" t="s">
        <v>124</v>
      </c>
      <c r="L1" s="1" t="s">
        <v>125</v>
      </c>
      <c r="M1" s="1" t="s">
        <v>126</v>
      </c>
      <c r="N1" s="1" t="s">
        <v>55</v>
      </c>
    </row>
    <row r="2" spans="1:14" ht="22.5" customHeight="1">
      <c r="A2" s="2" t="s">
        <v>2</v>
      </c>
      <c r="B2" s="3">
        <v>500</v>
      </c>
      <c r="C2" s="3">
        <v>500</v>
      </c>
      <c r="D2" s="3">
        <v>500</v>
      </c>
      <c r="E2" s="3">
        <v>0</v>
      </c>
      <c r="F2" s="3">
        <v>1000</v>
      </c>
      <c r="G2" s="3"/>
      <c r="H2" s="3"/>
      <c r="I2" s="3"/>
      <c r="J2" s="3"/>
      <c r="K2" s="3"/>
      <c r="L2" s="3"/>
      <c r="M2" s="3"/>
      <c r="N2" s="3">
        <f t="shared" ref="N2:N25" si="0">SUM(B2:M2)</f>
        <v>2500</v>
      </c>
    </row>
    <row r="3" spans="1:14" ht="22.5" customHeight="1">
      <c r="A3" s="2" t="s">
        <v>3</v>
      </c>
      <c r="B3" s="3">
        <v>0</v>
      </c>
      <c r="C3" s="3">
        <v>0</v>
      </c>
      <c r="E3" s="3"/>
      <c r="F3" s="3"/>
      <c r="G3" s="3"/>
      <c r="H3" s="3"/>
      <c r="I3" s="3"/>
      <c r="J3" s="3"/>
      <c r="K3" s="3"/>
      <c r="L3" s="3"/>
      <c r="M3" s="3"/>
      <c r="N3" s="3">
        <f t="shared" si="0"/>
        <v>0</v>
      </c>
    </row>
    <row r="4" spans="1:14" ht="22.5" customHeight="1">
      <c r="A4" s="4" t="s">
        <v>5</v>
      </c>
      <c r="B4" s="3">
        <v>500</v>
      </c>
      <c r="C4" s="3">
        <v>500</v>
      </c>
      <c r="D4" s="3">
        <v>500</v>
      </c>
      <c r="E4" s="3">
        <v>0</v>
      </c>
      <c r="F4" s="3">
        <v>1000</v>
      </c>
      <c r="G4" s="3"/>
      <c r="H4" s="3"/>
      <c r="I4" s="3"/>
      <c r="J4" s="3"/>
      <c r="K4" s="3"/>
      <c r="L4" s="3"/>
      <c r="M4" s="3"/>
      <c r="N4" s="3">
        <f t="shared" si="0"/>
        <v>2500</v>
      </c>
    </row>
    <row r="5" spans="1:14" ht="22.5" customHeight="1">
      <c r="A5" s="2" t="s">
        <v>7</v>
      </c>
      <c r="B5" s="3">
        <v>500</v>
      </c>
      <c r="C5" s="3">
        <v>500</v>
      </c>
      <c r="D5" s="3">
        <v>500</v>
      </c>
      <c r="E5" s="3">
        <v>500</v>
      </c>
      <c r="F5" s="3">
        <v>500</v>
      </c>
      <c r="H5" s="3"/>
      <c r="I5" s="3"/>
      <c r="J5" s="3"/>
      <c r="K5" s="3"/>
      <c r="L5" s="3"/>
      <c r="M5" s="3"/>
      <c r="N5" s="3">
        <f t="shared" si="0"/>
        <v>2500</v>
      </c>
    </row>
    <row r="6" spans="1:14" ht="22.5" customHeight="1">
      <c r="A6" s="4" t="s">
        <v>9</v>
      </c>
      <c r="B6" s="3"/>
      <c r="C6" s="3"/>
      <c r="D6" s="3"/>
      <c r="E6" s="3"/>
      <c r="F6" s="3"/>
      <c r="G6" s="3"/>
      <c r="H6" s="3"/>
      <c r="I6" s="3"/>
      <c r="J6" s="3"/>
      <c r="K6" s="3"/>
      <c r="L6" s="3"/>
      <c r="M6" s="3"/>
      <c r="N6" s="3">
        <f t="shared" si="0"/>
        <v>0</v>
      </c>
    </row>
    <row r="7" spans="1:14" ht="22.5" customHeight="1">
      <c r="A7" s="5" t="s">
        <v>10</v>
      </c>
      <c r="B7" s="3"/>
      <c r="C7" s="3"/>
      <c r="D7" s="3"/>
      <c r="E7" s="3"/>
      <c r="F7" s="3"/>
      <c r="G7" s="3"/>
      <c r="H7" s="3"/>
      <c r="I7" s="3"/>
      <c r="J7" s="3"/>
      <c r="K7" s="3"/>
      <c r="L7" s="3"/>
      <c r="M7" s="3"/>
      <c r="N7" s="3">
        <f t="shared" si="0"/>
        <v>0</v>
      </c>
    </row>
    <row r="8" spans="1:14" ht="22.5" customHeight="1">
      <c r="A8" s="2" t="s">
        <v>12</v>
      </c>
      <c r="B8" s="3">
        <v>750</v>
      </c>
      <c r="C8" s="3">
        <v>750</v>
      </c>
      <c r="D8" s="3">
        <v>750</v>
      </c>
      <c r="E8" s="3">
        <v>750</v>
      </c>
      <c r="F8" s="24">
        <v>750</v>
      </c>
      <c r="G8" s="3"/>
      <c r="H8" s="3"/>
      <c r="I8" s="31"/>
      <c r="J8" s="31"/>
      <c r="L8" s="3"/>
      <c r="M8" s="3"/>
      <c r="N8" s="3">
        <f t="shared" si="0"/>
        <v>3750</v>
      </c>
    </row>
    <row r="9" spans="1:14" ht="22.5" customHeight="1">
      <c r="A9" s="2" t="s">
        <v>14</v>
      </c>
      <c r="B9" s="3">
        <v>0</v>
      </c>
      <c r="C9" s="3">
        <v>0</v>
      </c>
      <c r="D9" s="3">
        <v>0</v>
      </c>
      <c r="E9" s="3">
        <v>0</v>
      </c>
      <c r="F9" s="3"/>
      <c r="H9" s="3"/>
      <c r="I9" s="3"/>
      <c r="J9" s="3"/>
      <c r="K9" s="3"/>
      <c r="L9" s="3"/>
      <c r="M9" s="3"/>
      <c r="N9" s="3">
        <f t="shared" si="0"/>
        <v>0</v>
      </c>
    </row>
    <row r="10" spans="1:14" ht="22.5" customHeight="1">
      <c r="A10" s="2" t="s">
        <v>16</v>
      </c>
      <c r="B10" s="3"/>
      <c r="C10" s="3"/>
      <c r="D10" s="3"/>
      <c r="E10" s="3"/>
      <c r="F10" s="3"/>
      <c r="G10" s="3"/>
      <c r="H10" s="3"/>
      <c r="I10" s="3"/>
      <c r="J10" s="3"/>
      <c r="K10" s="3"/>
      <c r="L10" s="3"/>
      <c r="M10" s="3"/>
      <c r="N10" s="3">
        <f t="shared" si="0"/>
        <v>0</v>
      </c>
    </row>
    <row r="11" spans="1:14" ht="22.5" customHeight="1">
      <c r="A11" s="4" t="s">
        <v>18</v>
      </c>
      <c r="B11" s="3">
        <v>500</v>
      </c>
      <c r="C11" s="3">
        <v>500</v>
      </c>
      <c r="D11" s="3">
        <v>500</v>
      </c>
      <c r="E11" s="3">
        <v>0</v>
      </c>
      <c r="F11" s="3">
        <v>1000</v>
      </c>
      <c r="G11" s="3"/>
      <c r="H11" s="3"/>
      <c r="I11" s="3"/>
      <c r="J11" s="3"/>
      <c r="K11" s="3"/>
      <c r="L11" s="3"/>
      <c r="M11" s="3"/>
      <c r="N11" s="3">
        <f t="shared" si="0"/>
        <v>2500</v>
      </c>
    </row>
    <row r="12" spans="1:14" ht="22.5" customHeight="1">
      <c r="A12" s="4" t="s">
        <v>20</v>
      </c>
      <c r="B12" s="3">
        <v>750</v>
      </c>
      <c r="C12" s="3">
        <v>750</v>
      </c>
      <c r="D12" s="3">
        <v>750</v>
      </c>
      <c r="E12" s="3">
        <v>750</v>
      </c>
      <c r="F12" s="3">
        <v>750</v>
      </c>
      <c r="G12" s="3"/>
      <c r="H12" s="3"/>
      <c r="I12" s="3"/>
      <c r="J12" s="3"/>
      <c r="K12" s="31"/>
      <c r="L12" s="3"/>
      <c r="M12" s="3"/>
      <c r="N12" s="3">
        <f t="shared" si="0"/>
        <v>3750</v>
      </c>
    </row>
    <row r="13" spans="1:14" ht="22.5" customHeight="1">
      <c r="A13" s="4" t="s">
        <v>22</v>
      </c>
      <c r="B13" s="3">
        <v>500</v>
      </c>
      <c r="C13" s="3">
        <v>0</v>
      </c>
      <c r="D13" s="3">
        <v>0</v>
      </c>
      <c r="E13" s="3"/>
      <c r="F13" s="3">
        <v>1000</v>
      </c>
      <c r="H13" s="3"/>
      <c r="I13" s="31"/>
      <c r="J13" s="31"/>
      <c r="K13" s="3"/>
      <c r="L13" s="3"/>
      <c r="M13" s="3"/>
      <c r="N13" s="3">
        <f t="shared" si="0"/>
        <v>1500</v>
      </c>
    </row>
    <row r="14" spans="1:14" ht="22.5" customHeight="1">
      <c r="A14" s="4" t="s">
        <v>24</v>
      </c>
      <c r="B14" s="3">
        <v>500</v>
      </c>
      <c r="C14" s="3">
        <v>500</v>
      </c>
      <c r="D14" s="3">
        <v>500</v>
      </c>
      <c r="E14" s="3">
        <v>0</v>
      </c>
      <c r="F14" s="3">
        <v>1000</v>
      </c>
      <c r="G14" s="3"/>
      <c r="H14" s="3"/>
      <c r="I14" s="3"/>
      <c r="J14" s="3"/>
      <c r="K14" s="3"/>
      <c r="L14" s="3"/>
      <c r="M14" s="3"/>
      <c r="N14" s="3">
        <f t="shared" si="0"/>
        <v>2500</v>
      </c>
    </row>
    <row r="15" spans="1:14" ht="22.5" customHeight="1">
      <c r="A15" s="4" t="s">
        <v>25</v>
      </c>
      <c r="B15" s="3"/>
      <c r="C15" s="3"/>
      <c r="D15" s="3"/>
      <c r="E15" s="3"/>
      <c r="F15" s="3"/>
      <c r="G15" s="3"/>
      <c r="H15" s="3"/>
      <c r="I15" s="3"/>
      <c r="J15" s="3"/>
      <c r="K15" s="3"/>
      <c r="L15" s="3"/>
      <c r="M15" s="3"/>
      <c r="N15" s="3">
        <f t="shared" si="0"/>
        <v>0</v>
      </c>
    </row>
    <row r="16" spans="1:14" ht="22.5" customHeight="1">
      <c r="A16" s="2" t="s">
        <v>26</v>
      </c>
      <c r="B16" s="3">
        <v>500</v>
      </c>
      <c r="C16" s="3">
        <v>500</v>
      </c>
      <c r="D16" s="3">
        <v>500</v>
      </c>
      <c r="E16" s="3">
        <v>500</v>
      </c>
      <c r="F16" s="3">
        <v>500</v>
      </c>
      <c r="H16" s="3"/>
      <c r="I16" s="3"/>
      <c r="J16" s="3"/>
      <c r="K16" s="3"/>
      <c r="L16" s="3"/>
      <c r="M16" s="3"/>
      <c r="N16" s="3">
        <f t="shared" si="0"/>
        <v>2500</v>
      </c>
    </row>
    <row r="17" spans="1:14" ht="22.5" customHeight="1">
      <c r="A17" s="2" t="s">
        <v>28</v>
      </c>
      <c r="B17" s="3">
        <v>0</v>
      </c>
      <c r="C17" s="3">
        <v>500</v>
      </c>
      <c r="D17" s="3">
        <v>500</v>
      </c>
      <c r="E17" s="3">
        <v>500</v>
      </c>
      <c r="F17" s="3">
        <v>500</v>
      </c>
      <c r="G17" s="3"/>
      <c r="H17" s="3"/>
      <c r="I17" s="3"/>
      <c r="J17" s="3"/>
      <c r="K17" s="3"/>
      <c r="L17" s="3"/>
      <c r="M17" s="3"/>
      <c r="N17" s="3">
        <f t="shared" si="0"/>
        <v>2000</v>
      </c>
    </row>
    <row r="18" spans="1:14" ht="22.5" customHeight="1">
      <c r="A18" s="2" t="s">
        <v>29</v>
      </c>
      <c r="B18" s="3">
        <v>500</v>
      </c>
      <c r="C18" s="3">
        <v>500</v>
      </c>
      <c r="D18" s="3">
        <v>500</v>
      </c>
      <c r="E18" s="3">
        <v>500</v>
      </c>
      <c r="F18" s="3">
        <v>500</v>
      </c>
      <c r="G18" s="3"/>
      <c r="H18" s="3"/>
      <c r="I18" s="3"/>
      <c r="J18" s="3"/>
      <c r="L18" s="3"/>
      <c r="M18" s="3"/>
      <c r="N18" s="3">
        <f t="shared" si="0"/>
        <v>2500</v>
      </c>
    </row>
    <row r="19" spans="1:14" ht="22.5" customHeight="1">
      <c r="A19" s="4" t="s">
        <v>31</v>
      </c>
      <c r="B19" s="3">
        <v>0</v>
      </c>
      <c r="C19" s="3">
        <v>0</v>
      </c>
      <c r="D19" s="3"/>
      <c r="E19" s="3"/>
      <c r="F19" s="3"/>
      <c r="G19" s="3"/>
      <c r="H19" s="3"/>
      <c r="I19" s="3"/>
      <c r="J19" s="3"/>
      <c r="K19" s="3"/>
      <c r="L19" s="3"/>
      <c r="M19" s="3"/>
      <c r="N19" s="3">
        <f t="shared" si="0"/>
        <v>0</v>
      </c>
    </row>
    <row r="20" spans="1:14" ht="22.5" customHeight="1">
      <c r="A20" s="2" t="s">
        <v>33</v>
      </c>
      <c r="B20" s="3">
        <v>600</v>
      </c>
      <c r="C20" s="3">
        <v>600</v>
      </c>
      <c r="D20" s="3">
        <v>600</v>
      </c>
      <c r="E20" s="3">
        <v>600</v>
      </c>
      <c r="F20" s="3"/>
      <c r="G20" s="3"/>
      <c r="H20" s="3"/>
      <c r="I20" s="3"/>
      <c r="J20" s="3"/>
      <c r="K20" s="3"/>
      <c r="L20" s="3"/>
      <c r="M20" s="3"/>
      <c r="N20" s="3">
        <f t="shared" si="0"/>
        <v>2400</v>
      </c>
    </row>
    <row r="21" spans="1:14" ht="22.5" customHeight="1">
      <c r="A21" s="2" t="s">
        <v>67</v>
      </c>
      <c r="B21" s="3">
        <v>0</v>
      </c>
      <c r="C21" s="3">
        <v>0</v>
      </c>
      <c r="D21" s="3">
        <v>0</v>
      </c>
      <c r="E21" s="3">
        <v>0</v>
      </c>
      <c r="F21" s="3">
        <v>0</v>
      </c>
      <c r="G21" s="3"/>
      <c r="H21" s="3"/>
      <c r="I21" s="3"/>
      <c r="J21" s="3"/>
      <c r="K21" s="3"/>
      <c r="L21" s="3"/>
      <c r="M21" s="3"/>
      <c r="N21" s="3">
        <f t="shared" si="0"/>
        <v>0</v>
      </c>
    </row>
    <row r="22" spans="1:14" ht="22.5" customHeight="1">
      <c r="A22" s="2" t="s">
        <v>37</v>
      </c>
      <c r="B22" s="3">
        <v>500</v>
      </c>
      <c r="C22" s="3">
        <v>500</v>
      </c>
      <c r="D22" s="3">
        <v>500</v>
      </c>
      <c r="E22" s="3">
        <v>500</v>
      </c>
      <c r="F22" s="3">
        <v>500</v>
      </c>
      <c r="G22" s="3"/>
      <c r="H22" s="3"/>
      <c r="I22" s="3"/>
      <c r="J22" s="3"/>
      <c r="K22" s="3"/>
      <c r="L22" s="3"/>
      <c r="M22" s="3"/>
      <c r="N22" s="3">
        <f t="shared" si="0"/>
        <v>2500</v>
      </c>
    </row>
    <row r="23" spans="1:14" ht="22.5" customHeight="1">
      <c r="A23" s="2" t="s">
        <v>39</v>
      </c>
      <c r="B23" s="3">
        <v>500</v>
      </c>
      <c r="C23" s="3">
        <v>500</v>
      </c>
      <c r="D23" s="3">
        <v>500</v>
      </c>
      <c r="E23" s="3"/>
      <c r="F23" s="3">
        <v>1000</v>
      </c>
      <c r="H23" s="3"/>
      <c r="I23" s="3"/>
      <c r="J23" s="3"/>
      <c r="K23" s="3"/>
      <c r="L23" s="3"/>
      <c r="M23" s="3"/>
      <c r="N23" s="3">
        <f t="shared" si="0"/>
        <v>2500</v>
      </c>
    </row>
    <row r="24" spans="1:14" ht="22.5" customHeight="1">
      <c r="A24" s="32" t="s">
        <v>127</v>
      </c>
      <c r="B24" s="3">
        <v>535</v>
      </c>
      <c r="C24" s="3">
        <v>548</v>
      </c>
      <c r="D24" s="3">
        <v>647</v>
      </c>
      <c r="E24" s="3">
        <v>573</v>
      </c>
      <c r="F24" s="3"/>
      <c r="G24" s="3"/>
      <c r="H24" s="3"/>
      <c r="I24" s="3"/>
      <c r="J24" s="3"/>
      <c r="K24" s="3"/>
      <c r="L24" s="3"/>
      <c r="M24" s="3"/>
      <c r="N24" s="3">
        <f t="shared" si="0"/>
        <v>2303</v>
      </c>
    </row>
    <row r="25" spans="1:14" ht="22.5" customHeight="1">
      <c r="A25" s="32" t="s">
        <v>128</v>
      </c>
      <c r="B25" s="3">
        <f>1300+650</f>
        <v>1950</v>
      </c>
      <c r="C25" s="3">
        <f>650+1300</f>
        <v>1950</v>
      </c>
      <c r="D25" s="3">
        <f t="shared" ref="D25:E25" si="1">1300+650</f>
        <v>1950</v>
      </c>
      <c r="E25" s="3">
        <f t="shared" si="1"/>
        <v>1950</v>
      </c>
      <c r="F25" s="3">
        <f>1300+500+650+650</f>
        <v>3100</v>
      </c>
      <c r="G25" s="3"/>
      <c r="H25" s="3"/>
      <c r="I25" s="3"/>
      <c r="J25" s="3"/>
      <c r="K25" s="3"/>
      <c r="L25" s="3"/>
      <c r="M25" s="3"/>
      <c r="N25" s="3">
        <f t="shared" si="0"/>
        <v>10900</v>
      </c>
    </row>
    <row r="26" spans="1:14" ht="22.5" customHeight="1">
      <c r="A26" s="3" t="s">
        <v>55</v>
      </c>
      <c r="B26" s="3">
        <f t="shared" ref="B26:C26" si="2">SUM(B2:B25)</f>
        <v>9585</v>
      </c>
      <c r="C26" s="3">
        <f t="shared" si="2"/>
        <v>9598</v>
      </c>
      <c r="D26" s="3">
        <f>SUM(D2:D24)</f>
        <v>7747</v>
      </c>
      <c r="E26" s="3">
        <f>SUM(E2:E25)</f>
        <v>7123</v>
      </c>
      <c r="F26" s="3">
        <f t="shared" ref="F26:G26" si="3">SUM(F2:F24)</f>
        <v>10000</v>
      </c>
      <c r="G26" s="3">
        <f t="shared" si="3"/>
        <v>0</v>
      </c>
      <c r="H26" s="3">
        <f t="shared" ref="H26:K26" si="4">SUM(H1:H24)</f>
        <v>0</v>
      </c>
      <c r="I26" s="3">
        <f t="shared" si="4"/>
        <v>0</v>
      </c>
      <c r="J26" s="3">
        <f t="shared" si="4"/>
        <v>0</v>
      </c>
      <c r="K26" s="3">
        <f t="shared" si="4"/>
        <v>0</v>
      </c>
      <c r="L26" s="3">
        <f>SUM(L2:L24)</f>
        <v>0</v>
      </c>
      <c r="M26" s="3">
        <f t="shared" ref="M26:N26" si="5">SUM(M2:M24)</f>
        <v>0</v>
      </c>
      <c r="N26" s="3">
        <f t="shared" si="5"/>
        <v>38203</v>
      </c>
    </row>
    <row r="28" spans="1:14" ht="13">
      <c r="A28" s="33" t="s">
        <v>129</v>
      </c>
    </row>
    <row r="29" spans="1:14" ht="13">
      <c r="A29" s="20" t="s">
        <v>41</v>
      </c>
      <c r="B29">
        <f>SUM(N2:N23)</f>
        <v>35900</v>
      </c>
    </row>
    <row r="30" spans="1:14" ht="13">
      <c r="A30" s="20" t="s">
        <v>130</v>
      </c>
      <c r="B30">
        <f t="shared" ref="B30:B31" si="6">SUM(B24:M24)</f>
        <v>2303</v>
      </c>
    </row>
    <row r="31" spans="1:14" ht="13">
      <c r="A31" s="20" t="s">
        <v>131</v>
      </c>
      <c r="B31">
        <f t="shared" si="6"/>
        <v>10900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9.6640625" customWidth="1"/>
    <col min="2" max="3" width="8.1640625" customWidth="1"/>
    <col min="4" max="4" width="8.33203125" customWidth="1"/>
    <col min="5" max="5" width="8.1640625" customWidth="1"/>
    <col min="6" max="6" width="8.6640625" customWidth="1"/>
    <col min="7" max="7" width="8.1640625" customWidth="1"/>
    <col min="8" max="8" width="8.5" customWidth="1"/>
    <col min="9" max="9" width="8.33203125" customWidth="1"/>
    <col min="10" max="11" width="8.1640625" customWidth="1"/>
    <col min="12" max="13" width="8.33203125" customWidth="1"/>
    <col min="14" max="14" width="9.1640625" customWidth="1"/>
  </cols>
  <sheetData>
    <row r="1" spans="1:14" ht="22.5" customHeight="1">
      <c r="A1" s="1" t="s">
        <v>54</v>
      </c>
      <c r="B1" s="1" t="s">
        <v>115</v>
      </c>
      <c r="C1" s="1" t="s">
        <v>116</v>
      </c>
      <c r="D1" s="1" t="s">
        <v>117</v>
      </c>
      <c r="E1" s="1" t="s">
        <v>118</v>
      </c>
      <c r="F1" s="1" t="s">
        <v>119</v>
      </c>
      <c r="G1" s="1" t="s">
        <v>120</v>
      </c>
      <c r="H1" s="1" t="s">
        <v>121</v>
      </c>
      <c r="I1" s="1" t="s">
        <v>122</v>
      </c>
      <c r="J1" s="1" t="s">
        <v>123</v>
      </c>
      <c r="K1" s="1" t="s">
        <v>124</v>
      </c>
      <c r="L1" s="1" t="s">
        <v>125</v>
      </c>
      <c r="M1" s="1" t="s">
        <v>126</v>
      </c>
      <c r="N1" s="1" t="s">
        <v>55</v>
      </c>
    </row>
    <row r="2" spans="1:14" ht="22.5" customHeight="1">
      <c r="A2" s="2" t="s">
        <v>2</v>
      </c>
      <c r="B2" s="3">
        <v>500</v>
      </c>
      <c r="C2" s="3">
        <v>500</v>
      </c>
      <c r="D2" s="3">
        <v>500</v>
      </c>
      <c r="E2" s="3">
        <v>500</v>
      </c>
      <c r="F2" s="3">
        <v>500</v>
      </c>
      <c r="G2" s="3">
        <v>500</v>
      </c>
      <c r="H2" s="3">
        <f>500+4000</f>
        <v>4500</v>
      </c>
      <c r="I2" s="3">
        <v>500</v>
      </c>
      <c r="J2" s="3">
        <v>500</v>
      </c>
      <c r="K2" s="3">
        <v>500</v>
      </c>
      <c r="L2" s="3">
        <v>500</v>
      </c>
      <c r="M2" s="3">
        <v>500</v>
      </c>
      <c r="N2" s="3">
        <f t="shared" ref="N2:N24" si="0">SUM(B2:M2)</f>
        <v>10000</v>
      </c>
    </row>
    <row r="3" spans="1:14" ht="22.5" customHeight="1">
      <c r="A3" s="2" t="s">
        <v>3</v>
      </c>
      <c r="B3" s="3">
        <v>5000</v>
      </c>
      <c r="C3" s="3">
        <v>1000</v>
      </c>
      <c r="D3" s="24">
        <v>0</v>
      </c>
      <c r="E3" s="3">
        <v>0</v>
      </c>
      <c r="F3" s="3">
        <v>0</v>
      </c>
      <c r="G3" s="3">
        <v>0</v>
      </c>
      <c r="H3" s="3">
        <v>0</v>
      </c>
      <c r="I3" s="3"/>
      <c r="J3" s="3"/>
      <c r="K3" s="3">
        <v>10000</v>
      </c>
      <c r="L3" s="3"/>
      <c r="M3" s="3"/>
      <c r="N3" s="3">
        <f t="shared" si="0"/>
        <v>16000</v>
      </c>
    </row>
    <row r="4" spans="1:14" ht="22.5" customHeight="1">
      <c r="A4" s="4" t="s">
        <v>5</v>
      </c>
      <c r="B4" s="3">
        <v>500</v>
      </c>
      <c r="C4" s="3">
        <v>500</v>
      </c>
      <c r="D4" s="3">
        <v>500</v>
      </c>
      <c r="E4" s="3">
        <v>500</v>
      </c>
      <c r="F4" s="3">
        <v>500</v>
      </c>
      <c r="G4" s="3">
        <v>500</v>
      </c>
      <c r="H4" s="3">
        <v>500</v>
      </c>
      <c r="I4" s="3">
        <v>500</v>
      </c>
      <c r="J4" s="3">
        <v>500</v>
      </c>
      <c r="K4" s="3">
        <v>500</v>
      </c>
      <c r="L4" s="3">
        <v>500</v>
      </c>
      <c r="M4" s="3">
        <v>500</v>
      </c>
      <c r="N4" s="3">
        <f t="shared" si="0"/>
        <v>6000</v>
      </c>
    </row>
    <row r="5" spans="1:14" ht="22.5" customHeight="1">
      <c r="A5" s="2" t="s">
        <v>7</v>
      </c>
      <c r="B5" s="3">
        <v>500</v>
      </c>
      <c r="C5" s="3">
        <v>500</v>
      </c>
      <c r="D5" s="3">
        <v>500</v>
      </c>
      <c r="E5" s="3">
        <v>500</v>
      </c>
      <c r="F5" s="3">
        <v>500</v>
      </c>
      <c r="G5" s="24">
        <v>500</v>
      </c>
      <c r="H5" s="3">
        <v>500</v>
      </c>
      <c r="I5" s="3">
        <v>500</v>
      </c>
      <c r="J5" s="3">
        <v>500</v>
      </c>
      <c r="K5" s="3">
        <v>500</v>
      </c>
      <c r="L5" s="3">
        <v>500</v>
      </c>
      <c r="M5" s="3"/>
      <c r="N5" s="3">
        <f t="shared" si="0"/>
        <v>5500</v>
      </c>
    </row>
    <row r="6" spans="1:14" ht="22.5" customHeight="1">
      <c r="A6" s="4" t="s">
        <v>9</v>
      </c>
      <c r="B6" s="3">
        <v>0</v>
      </c>
      <c r="C6" s="3">
        <v>0</v>
      </c>
      <c r="D6" s="3"/>
      <c r="E6" s="3"/>
      <c r="F6" s="3"/>
      <c r="G6" s="3"/>
      <c r="H6" s="3"/>
      <c r="I6" s="3"/>
      <c r="J6" s="3"/>
      <c r="K6" s="3"/>
      <c r="L6" s="3"/>
      <c r="M6" s="3"/>
      <c r="N6" s="3">
        <f t="shared" si="0"/>
        <v>0</v>
      </c>
    </row>
    <row r="7" spans="1:14" ht="22.5" customHeight="1">
      <c r="A7" s="5" t="s">
        <v>10</v>
      </c>
      <c r="B7" s="3">
        <v>0</v>
      </c>
      <c r="C7" s="3">
        <v>0</v>
      </c>
      <c r="D7" s="3">
        <v>0</v>
      </c>
      <c r="E7" s="3">
        <v>0</v>
      </c>
      <c r="F7" s="3">
        <v>0</v>
      </c>
      <c r="G7" s="3">
        <v>0</v>
      </c>
      <c r="H7" s="3">
        <v>0</v>
      </c>
      <c r="I7" s="3"/>
      <c r="J7" s="3"/>
      <c r="K7" s="3"/>
      <c r="L7" s="3"/>
      <c r="M7" s="3"/>
      <c r="N7" s="3">
        <f t="shared" si="0"/>
        <v>0</v>
      </c>
    </row>
    <row r="8" spans="1:14" ht="22.5" customHeight="1">
      <c r="A8" s="2" t="s">
        <v>12</v>
      </c>
      <c r="B8" s="3">
        <v>500</v>
      </c>
      <c r="C8" s="3">
        <v>1000</v>
      </c>
      <c r="D8" s="3">
        <v>500</v>
      </c>
      <c r="E8" s="3">
        <v>600</v>
      </c>
      <c r="F8" s="3">
        <v>600</v>
      </c>
      <c r="G8" s="3">
        <v>500</v>
      </c>
      <c r="H8" s="3">
        <v>500</v>
      </c>
      <c r="I8" s="34">
        <v>750</v>
      </c>
      <c r="J8" s="34">
        <v>750</v>
      </c>
      <c r="K8" s="24">
        <v>750</v>
      </c>
      <c r="L8" s="3"/>
      <c r="M8" s="3">
        <v>500</v>
      </c>
      <c r="N8" s="3">
        <f t="shared" si="0"/>
        <v>6950</v>
      </c>
    </row>
    <row r="9" spans="1:14" ht="22.5" customHeight="1">
      <c r="A9" s="2" t="s">
        <v>14</v>
      </c>
      <c r="B9" s="3">
        <v>0</v>
      </c>
      <c r="C9" s="3">
        <v>0</v>
      </c>
      <c r="D9" s="3">
        <v>0</v>
      </c>
      <c r="E9" s="3">
        <v>0</v>
      </c>
      <c r="F9" s="3">
        <v>500</v>
      </c>
      <c r="G9" s="24">
        <v>0</v>
      </c>
      <c r="H9" s="3">
        <v>500</v>
      </c>
      <c r="I9" s="3">
        <v>0</v>
      </c>
      <c r="J9" s="3">
        <v>0</v>
      </c>
      <c r="K9" s="3"/>
      <c r="L9" s="3"/>
      <c r="M9" s="3"/>
      <c r="N9" s="3">
        <f t="shared" si="0"/>
        <v>1000</v>
      </c>
    </row>
    <row r="10" spans="1:14" ht="22.5" customHeight="1">
      <c r="A10" s="2" t="s">
        <v>16</v>
      </c>
      <c r="B10" s="3">
        <v>0</v>
      </c>
      <c r="C10" s="3">
        <v>0</v>
      </c>
      <c r="D10" s="3">
        <v>0</v>
      </c>
      <c r="E10" s="3">
        <v>0</v>
      </c>
      <c r="F10" s="3">
        <v>0</v>
      </c>
      <c r="G10" s="3">
        <v>0</v>
      </c>
      <c r="H10" s="3">
        <v>0</v>
      </c>
      <c r="I10" s="3"/>
      <c r="J10" s="3"/>
      <c r="K10" s="3"/>
      <c r="L10" s="3"/>
      <c r="M10" s="3"/>
      <c r="N10" s="3">
        <f t="shared" si="0"/>
        <v>0</v>
      </c>
    </row>
    <row r="11" spans="1:14" ht="22.5" customHeight="1">
      <c r="A11" s="4" t="s">
        <v>18</v>
      </c>
      <c r="B11" s="3">
        <v>500</v>
      </c>
      <c r="C11" s="3">
        <v>500</v>
      </c>
      <c r="D11" s="3">
        <v>500</v>
      </c>
      <c r="E11" s="3">
        <v>500</v>
      </c>
      <c r="F11" s="3">
        <v>500</v>
      </c>
      <c r="G11" s="3">
        <v>500</v>
      </c>
      <c r="H11" s="3">
        <v>500</v>
      </c>
      <c r="I11" s="3">
        <v>500</v>
      </c>
      <c r="J11" s="3">
        <v>500</v>
      </c>
      <c r="K11" s="3">
        <v>500</v>
      </c>
      <c r="L11" s="3">
        <v>500</v>
      </c>
      <c r="M11" s="3">
        <v>500</v>
      </c>
      <c r="N11" s="3">
        <f t="shared" si="0"/>
        <v>6000</v>
      </c>
    </row>
    <row r="12" spans="1:14" ht="22.5" customHeight="1">
      <c r="A12" s="4" t="s">
        <v>20</v>
      </c>
      <c r="B12" s="3">
        <v>500</v>
      </c>
      <c r="C12" s="3">
        <v>500</v>
      </c>
      <c r="D12" s="3">
        <v>500</v>
      </c>
      <c r="E12" s="3">
        <v>500</v>
      </c>
      <c r="F12" s="3">
        <v>750</v>
      </c>
      <c r="G12" s="3">
        <v>770</v>
      </c>
      <c r="H12" s="3">
        <v>770</v>
      </c>
      <c r="I12" s="3">
        <v>770</v>
      </c>
      <c r="J12" s="3">
        <v>750</v>
      </c>
      <c r="K12" s="31">
        <v>750</v>
      </c>
      <c r="L12" s="3"/>
      <c r="M12" s="3">
        <v>750</v>
      </c>
      <c r="N12" s="3">
        <f t="shared" si="0"/>
        <v>7310</v>
      </c>
    </row>
    <row r="13" spans="1:14" ht="22.5" customHeight="1">
      <c r="A13" s="4" t="s">
        <v>22</v>
      </c>
      <c r="B13" s="3">
        <v>500</v>
      </c>
      <c r="C13" s="3">
        <v>500</v>
      </c>
      <c r="D13" s="3">
        <v>500</v>
      </c>
      <c r="E13" s="3">
        <v>500</v>
      </c>
      <c r="F13" s="3">
        <v>0</v>
      </c>
      <c r="G13" s="24">
        <v>1000</v>
      </c>
      <c r="H13" s="3">
        <v>500</v>
      </c>
      <c r="I13" s="34">
        <v>1500</v>
      </c>
      <c r="J13" s="31">
        <v>500</v>
      </c>
      <c r="K13" s="3">
        <f>1+1000</f>
        <v>1001</v>
      </c>
      <c r="L13" s="3">
        <v>1000</v>
      </c>
      <c r="M13" s="3"/>
      <c r="N13" s="3">
        <f t="shared" si="0"/>
        <v>7501</v>
      </c>
    </row>
    <row r="14" spans="1:14" ht="22.5" customHeight="1">
      <c r="A14" s="4" t="s">
        <v>24</v>
      </c>
      <c r="B14" s="3">
        <v>500</v>
      </c>
      <c r="C14" s="3">
        <v>500</v>
      </c>
      <c r="D14" s="3">
        <v>500</v>
      </c>
      <c r="E14" s="3">
        <v>500</v>
      </c>
      <c r="F14" s="3">
        <v>500</v>
      </c>
      <c r="G14" s="3">
        <v>500</v>
      </c>
      <c r="H14" s="3">
        <v>500</v>
      </c>
      <c r="I14" s="3">
        <v>500</v>
      </c>
      <c r="J14" s="3">
        <v>500</v>
      </c>
      <c r="K14" s="3">
        <v>500</v>
      </c>
      <c r="L14" s="3">
        <v>500</v>
      </c>
      <c r="M14" s="3">
        <v>500</v>
      </c>
      <c r="N14" s="3">
        <f t="shared" si="0"/>
        <v>6000</v>
      </c>
    </row>
    <row r="15" spans="1:14" ht="22.5" customHeight="1">
      <c r="A15" s="4" t="s">
        <v>25</v>
      </c>
      <c r="B15" s="3">
        <v>0</v>
      </c>
      <c r="C15" s="3">
        <v>0</v>
      </c>
      <c r="D15" s="3">
        <v>0</v>
      </c>
      <c r="E15" s="3">
        <v>0</v>
      </c>
      <c r="F15" s="3">
        <v>0</v>
      </c>
      <c r="G15" s="3">
        <v>0</v>
      </c>
      <c r="H15" s="3">
        <v>0</v>
      </c>
      <c r="I15" s="3"/>
      <c r="J15" s="3"/>
      <c r="K15" s="3"/>
      <c r="L15" s="3"/>
      <c r="M15" s="3"/>
      <c r="N15" s="3">
        <f t="shared" si="0"/>
        <v>0</v>
      </c>
    </row>
    <row r="16" spans="1:14" ht="22.5" customHeight="1">
      <c r="A16" s="2" t="s">
        <v>26</v>
      </c>
      <c r="B16" s="3">
        <v>500</v>
      </c>
      <c r="C16" s="3">
        <v>500</v>
      </c>
      <c r="D16" s="3">
        <v>500</v>
      </c>
      <c r="E16" s="3">
        <v>500</v>
      </c>
      <c r="F16" s="3">
        <v>500</v>
      </c>
      <c r="G16" s="24">
        <v>500</v>
      </c>
      <c r="H16" s="3">
        <v>500</v>
      </c>
      <c r="I16" s="3"/>
      <c r="J16" s="3">
        <v>500</v>
      </c>
      <c r="K16" s="3">
        <v>500</v>
      </c>
      <c r="L16" s="3">
        <v>500</v>
      </c>
      <c r="M16" s="3">
        <v>1000</v>
      </c>
      <c r="N16" s="3">
        <f t="shared" si="0"/>
        <v>6000</v>
      </c>
    </row>
    <row r="17" spans="1:14" ht="22.5" customHeight="1">
      <c r="A17" s="2" t="s">
        <v>28</v>
      </c>
      <c r="B17" s="3">
        <v>0</v>
      </c>
      <c r="C17" s="3">
        <v>0</v>
      </c>
      <c r="D17" s="3">
        <v>0</v>
      </c>
      <c r="E17" s="3">
        <v>0</v>
      </c>
      <c r="F17" s="3">
        <v>0</v>
      </c>
      <c r="G17" s="3">
        <v>0</v>
      </c>
      <c r="H17" s="3">
        <v>0</v>
      </c>
      <c r="I17" s="3"/>
      <c r="J17" s="3"/>
      <c r="K17" s="3"/>
      <c r="L17" s="3"/>
      <c r="M17" s="3"/>
      <c r="N17" s="3">
        <f t="shared" si="0"/>
        <v>0</v>
      </c>
    </row>
    <row r="18" spans="1:14" ht="22.5" customHeight="1">
      <c r="A18" s="2" t="s">
        <v>29</v>
      </c>
      <c r="B18" s="3">
        <v>500</v>
      </c>
      <c r="C18" s="3">
        <v>500</v>
      </c>
      <c r="D18" s="3"/>
      <c r="E18" s="3">
        <v>500</v>
      </c>
      <c r="F18" s="3">
        <v>500</v>
      </c>
      <c r="G18" s="3">
        <v>500</v>
      </c>
      <c r="H18" s="3">
        <v>500</v>
      </c>
      <c r="I18" s="3"/>
      <c r="J18" s="3">
        <v>500</v>
      </c>
      <c r="K18" s="24">
        <v>500</v>
      </c>
      <c r="L18" s="3">
        <v>500</v>
      </c>
      <c r="M18" s="3">
        <v>500</v>
      </c>
      <c r="N18" s="3">
        <f t="shared" si="0"/>
        <v>5000</v>
      </c>
    </row>
    <row r="19" spans="1:14" ht="22.5" customHeight="1">
      <c r="A19" s="4" t="s">
        <v>31</v>
      </c>
      <c r="B19" s="3">
        <v>0</v>
      </c>
      <c r="C19" s="3">
        <v>0</v>
      </c>
      <c r="D19" s="3">
        <v>0</v>
      </c>
      <c r="E19" s="3">
        <v>0</v>
      </c>
      <c r="F19" s="3">
        <v>5000</v>
      </c>
      <c r="G19" s="3">
        <v>0</v>
      </c>
      <c r="H19" s="3">
        <v>0</v>
      </c>
      <c r="I19" s="3"/>
      <c r="J19" s="3"/>
      <c r="K19" s="3"/>
      <c r="L19" s="3"/>
      <c r="M19" s="3"/>
      <c r="N19" s="3">
        <f t="shared" si="0"/>
        <v>5000</v>
      </c>
    </row>
    <row r="20" spans="1:14" ht="22.5" customHeight="1">
      <c r="A20" s="2" t="s">
        <v>33</v>
      </c>
      <c r="B20" s="3">
        <v>500</v>
      </c>
      <c r="C20" s="3">
        <v>500</v>
      </c>
      <c r="D20" s="3">
        <v>500</v>
      </c>
      <c r="E20" s="3">
        <v>500</v>
      </c>
      <c r="F20" s="3">
        <v>500</v>
      </c>
      <c r="G20" s="3">
        <v>0</v>
      </c>
      <c r="H20" s="3">
        <v>500</v>
      </c>
      <c r="I20" s="3"/>
      <c r="J20" s="3"/>
      <c r="K20" s="3"/>
      <c r="L20" s="3">
        <v>600</v>
      </c>
      <c r="M20" s="3">
        <v>600</v>
      </c>
      <c r="N20" s="3">
        <f t="shared" si="0"/>
        <v>4200</v>
      </c>
    </row>
    <row r="21" spans="1:14" ht="22.5" hidden="1" customHeight="1">
      <c r="A21" s="2" t="s">
        <v>67</v>
      </c>
      <c r="B21" s="3">
        <v>0</v>
      </c>
      <c r="C21" s="3">
        <v>0</v>
      </c>
      <c r="D21" s="3">
        <v>0</v>
      </c>
      <c r="E21" s="3">
        <v>0</v>
      </c>
      <c r="F21" s="3">
        <v>0</v>
      </c>
      <c r="G21" s="3">
        <v>0</v>
      </c>
      <c r="H21" s="3">
        <v>0</v>
      </c>
      <c r="I21" s="3"/>
      <c r="J21" s="3"/>
      <c r="K21" s="3"/>
      <c r="L21" s="3"/>
      <c r="M21" s="3"/>
      <c r="N21" s="3">
        <f t="shared" si="0"/>
        <v>0</v>
      </c>
    </row>
    <row r="22" spans="1:14" ht="22.5" customHeight="1">
      <c r="A22" s="2" t="s">
        <v>37</v>
      </c>
      <c r="B22" s="3">
        <v>1000</v>
      </c>
      <c r="C22" s="3">
        <v>1000</v>
      </c>
      <c r="D22" s="3">
        <v>500</v>
      </c>
      <c r="E22" s="3">
        <v>600</v>
      </c>
      <c r="F22" s="3">
        <v>0</v>
      </c>
      <c r="G22" s="3">
        <v>0</v>
      </c>
      <c r="H22" s="3">
        <v>1800</v>
      </c>
      <c r="I22" s="3">
        <v>500</v>
      </c>
      <c r="J22" s="3">
        <v>500</v>
      </c>
      <c r="K22" s="3">
        <v>500</v>
      </c>
      <c r="L22" s="3">
        <v>500</v>
      </c>
      <c r="M22" s="3">
        <v>500</v>
      </c>
      <c r="N22" s="3">
        <f t="shared" si="0"/>
        <v>7400</v>
      </c>
    </row>
    <row r="23" spans="1:14" ht="22.5" customHeight="1">
      <c r="A23" s="2" t="s">
        <v>39</v>
      </c>
      <c r="B23" s="3">
        <v>500</v>
      </c>
      <c r="C23" s="3">
        <v>500</v>
      </c>
      <c r="D23" s="3">
        <v>500</v>
      </c>
      <c r="E23" s="3">
        <v>500</v>
      </c>
      <c r="F23" s="3">
        <v>500</v>
      </c>
      <c r="G23" s="24">
        <v>500</v>
      </c>
      <c r="H23" s="3">
        <v>500</v>
      </c>
      <c r="I23" s="3"/>
      <c r="J23" s="3">
        <v>500</v>
      </c>
      <c r="K23" s="3">
        <f>500+1</f>
        <v>501</v>
      </c>
      <c r="L23" s="3">
        <v>500</v>
      </c>
      <c r="M23" s="3"/>
      <c r="N23" s="3">
        <f t="shared" si="0"/>
        <v>5001</v>
      </c>
    </row>
    <row r="24" spans="1:14" ht="22.5" customHeight="1">
      <c r="A24" s="32" t="s">
        <v>132</v>
      </c>
      <c r="B24" s="3">
        <v>600</v>
      </c>
      <c r="C24" s="3">
        <f>600+600</f>
        <v>1200</v>
      </c>
      <c r="D24" s="3">
        <v>600</v>
      </c>
      <c r="E24" s="3"/>
      <c r="F24" s="3"/>
      <c r="G24" s="3">
        <v>1300</v>
      </c>
      <c r="H24" s="3">
        <v>1300</v>
      </c>
      <c r="I24" s="3">
        <v>1300</v>
      </c>
      <c r="J24" s="3">
        <v>1300</v>
      </c>
      <c r="K24" s="3">
        <f>1350+1300</f>
        <v>2650</v>
      </c>
      <c r="L24" s="3">
        <f>800</f>
        <v>800</v>
      </c>
      <c r="M24" s="3">
        <f>90+650+1300+174</f>
        <v>2214</v>
      </c>
      <c r="N24" s="3">
        <f t="shared" si="0"/>
        <v>13264</v>
      </c>
    </row>
    <row r="25" spans="1:14" ht="22.5" customHeight="1">
      <c r="A25" s="3" t="s">
        <v>55</v>
      </c>
      <c r="B25" s="3">
        <f t="shared" ref="B25:G25" si="1">SUM(B2:B24)</f>
        <v>12600</v>
      </c>
      <c r="C25" s="3">
        <f t="shared" si="1"/>
        <v>9700</v>
      </c>
      <c r="D25" s="3">
        <f t="shared" si="1"/>
        <v>6600</v>
      </c>
      <c r="E25" s="3">
        <f t="shared" si="1"/>
        <v>6700</v>
      </c>
      <c r="F25" s="3">
        <f t="shared" si="1"/>
        <v>11350</v>
      </c>
      <c r="G25" s="3">
        <f t="shared" si="1"/>
        <v>7570</v>
      </c>
      <c r="H25" s="3">
        <f t="shared" ref="H25:K25" si="2">SUM(H1:H24)</f>
        <v>13870</v>
      </c>
      <c r="I25" s="3">
        <f t="shared" si="2"/>
        <v>7320</v>
      </c>
      <c r="J25" s="3">
        <f t="shared" si="2"/>
        <v>7800</v>
      </c>
      <c r="K25" s="3">
        <f t="shared" si="2"/>
        <v>19652</v>
      </c>
      <c r="L25" s="3">
        <f>SUM(L2:L24)</f>
        <v>6900</v>
      </c>
      <c r="M25" s="3">
        <f t="shared" ref="M25:N25" si="3">SUM(M2:M24)</f>
        <v>8064</v>
      </c>
      <c r="N25" s="3">
        <f t="shared" si="3"/>
        <v>118126</v>
      </c>
    </row>
  </sheetData>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7.1640625" customWidth="1"/>
    <col min="2" max="3" width="8.1640625" customWidth="1"/>
    <col min="4" max="4" width="8.33203125" customWidth="1"/>
    <col min="5" max="5" width="8.1640625" customWidth="1"/>
    <col min="6" max="6" width="8.6640625" customWidth="1"/>
    <col min="7" max="7" width="8.1640625" customWidth="1"/>
    <col min="8" max="8" width="8.5" customWidth="1"/>
    <col min="9" max="9" width="8.33203125" customWidth="1"/>
    <col min="10" max="11" width="8.1640625" customWidth="1"/>
    <col min="12" max="13" width="8.33203125" customWidth="1"/>
    <col min="14" max="14" width="9.1640625" customWidth="1"/>
    <col min="15" max="26" width="25.83203125" customWidth="1"/>
  </cols>
  <sheetData>
    <row r="1" spans="1:14" ht="22.5" customHeight="1">
      <c r="A1" s="1" t="s">
        <v>54</v>
      </c>
      <c r="B1" s="1" t="s">
        <v>115</v>
      </c>
      <c r="C1" s="1" t="s">
        <v>116</v>
      </c>
      <c r="D1" s="1" t="s">
        <v>117</v>
      </c>
      <c r="E1" s="1" t="s">
        <v>118</v>
      </c>
      <c r="F1" s="1" t="s">
        <v>119</v>
      </c>
      <c r="G1" s="1" t="s">
        <v>120</v>
      </c>
      <c r="H1" s="1" t="s">
        <v>121</v>
      </c>
      <c r="I1" s="1" t="s">
        <v>122</v>
      </c>
      <c r="J1" s="1" t="s">
        <v>123</v>
      </c>
      <c r="K1" s="1" t="s">
        <v>124</v>
      </c>
      <c r="L1" s="1" t="s">
        <v>125</v>
      </c>
      <c r="M1" s="1" t="s">
        <v>126</v>
      </c>
      <c r="N1" s="1" t="s">
        <v>55</v>
      </c>
    </row>
    <row r="2" spans="1:14" ht="22.5" customHeight="1">
      <c r="A2" s="2" t="s">
        <v>2</v>
      </c>
      <c r="B2" s="3">
        <v>500</v>
      </c>
      <c r="C2" s="3">
        <v>500</v>
      </c>
      <c r="D2" s="3">
        <v>500</v>
      </c>
      <c r="E2" s="3">
        <v>500</v>
      </c>
      <c r="F2" s="3">
        <v>500</v>
      </c>
      <c r="G2" s="3">
        <v>500</v>
      </c>
      <c r="H2" s="3">
        <v>500</v>
      </c>
      <c r="I2" s="3">
        <v>500</v>
      </c>
      <c r="J2" s="3">
        <v>500</v>
      </c>
      <c r="K2" s="3">
        <v>500</v>
      </c>
      <c r="L2" s="3">
        <v>500</v>
      </c>
      <c r="M2" s="3">
        <v>500</v>
      </c>
      <c r="N2" s="3">
        <f t="shared" ref="N2:N24" si="0">SUM(B2:M2)</f>
        <v>6000</v>
      </c>
    </row>
    <row r="3" spans="1:14" ht="22.5" customHeight="1">
      <c r="A3" s="2" t="s">
        <v>3</v>
      </c>
      <c r="B3" s="3"/>
      <c r="C3" s="3"/>
      <c r="D3" s="3"/>
      <c r="E3" s="3"/>
      <c r="F3" s="3">
        <v>1000</v>
      </c>
      <c r="G3" s="3"/>
      <c r="H3" s="3"/>
      <c r="I3" s="3"/>
      <c r="J3" s="3"/>
      <c r="K3" s="3"/>
      <c r="L3" s="3"/>
      <c r="M3" s="3"/>
      <c r="N3" s="3">
        <f t="shared" si="0"/>
        <v>1000</v>
      </c>
    </row>
    <row r="4" spans="1:14" ht="22.5" customHeight="1">
      <c r="A4" s="4" t="s">
        <v>5</v>
      </c>
      <c r="B4" s="3">
        <v>500</v>
      </c>
      <c r="C4" s="3">
        <v>500</v>
      </c>
      <c r="D4" s="3">
        <v>500</v>
      </c>
      <c r="E4" s="3">
        <v>500</v>
      </c>
      <c r="F4" s="3">
        <v>500</v>
      </c>
      <c r="G4" s="3">
        <v>500</v>
      </c>
      <c r="H4" s="3">
        <v>500</v>
      </c>
      <c r="I4" s="3">
        <v>500</v>
      </c>
      <c r="J4" s="3">
        <v>500</v>
      </c>
      <c r="K4" s="3">
        <v>500</v>
      </c>
      <c r="L4" s="3">
        <v>500</v>
      </c>
      <c r="M4" s="3">
        <v>500</v>
      </c>
      <c r="N4" s="3">
        <f t="shared" si="0"/>
        <v>6000</v>
      </c>
    </row>
    <row r="5" spans="1:14" ht="22.5" customHeight="1">
      <c r="A5" s="2" t="s">
        <v>7</v>
      </c>
      <c r="B5" s="3">
        <v>500</v>
      </c>
      <c r="C5" s="3">
        <v>500</v>
      </c>
      <c r="D5" s="3">
        <v>500</v>
      </c>
      <c r="E5" s="3">
        <v>500</v>
      </c>
      <c r="F5" s="3">
        <v>500</v>
      </c>
      <c r="G5" s="3">
        <v>500</v>
      </c>
      <c r="H5" s="3">
        <v>500</v>
      </c>
      <c r="I5" s="3"/>
      <c r="J5" s="3">
        <v>500</v>
      </c>
      <c r="K5" s="3">
        <v>500</v>
      </c>
      <c r="L5" s="3">
        <v>500</v>
      </c>
      <c r="M5" s="3">
        <v>500</v>
      </c>
      <c r="N5" s="3">
        <f t="shared" si="0"/>
        <v>5500</v>
      </c>
    </row>
    <row r="6" spans="1:14" ht="22.5" customHeight="1">
      <c r="A6" s="4" t="s">
        <v>9</v>
      </c>
      <c r="B6" s="3"/>
      <c r="C6" s="3"/>
      <c r="D6" s="3"/>
      <c r="E6" s="3"/>
      <c r="F6" s="3"/>
      <c r="G6" s="3"/>
      <c r="H6" s="3"/>
      <c r="I6" s="3"/>
      <c r="J6" s="3"/>
      <c r="K6" s="3"/>
      <c r="L6" s="3"/>
      <c r="M6" s="3"/>
      <c r="N6" s="3">
        <f t="shared" si="0"/>
        <v>0</v>
      </c>
    </row>
    <row r="7" spans="1:14" ht="22.5" customHeight="1">
      <c r="A7" s="5" t="s">
        <v>10</v>
      </c>
      <c r="B7" s="3"/>
      <c r="C7" s="3"/>
      <c r="D7" s="3"/>
      <c r="E7" s="3"/>
      <c r="F7" s="3"/>
      <c r="G7" s="3"/>
      <c r="H7" s="3"/>
      <c r="I7" s="3"/>
      <c r="J7" s="3"/>
      <c r="K7" s="3"/>
      <c r="L7" s="3"/>
      <c r="M7" s="3"/>
      <c r="N7" s="3">
        <f t="shared" si="0"/>
        <v>0</v>
      </c>
    </row>
    <row r="8" spans="1:14" ht="22.5" customHeight="1">
      <c r="A8" s="2" t="s">
        <v>12</v>
      </c>
      <c r="B8" s="3"/>
      <c r="C8" s="3">
        <v>1000</v>
      </c>
      <c r="D8" s="3">
        <v>1000</v>
      </c>
      <c r="E8" s="3"/>
      <c r="F8" s="3"/>
      <c r="G8" s="3">
        <v>1000</v>
      </c>
      <c r="H8" s="3"/>
      <c r="I8" s="3">
        <v>500</v>
      </c>
      <c r="J8" s="3"/>
      <c r="K8" s="3"/>
      <c r="L8" s="3"/>
      <c r="M8" s="3"/>
      <c r="N8" s="3">
        <f t="shared" si="0"/>
        <v>3500</v>
      </c>
    </row>
    <row r="9" spans="1:14" ht="22.5" customHeight="1">
      <c r="A9" s="2" t="s">
        <v>14</v>
      </c>
      <c r="B9" s="3"/>
      <c r="C9" s="3"/>
      <c r="D9" s="3"/>
      <c r="E9" s="3"/>
      <c r="F9" s="3"/>
      <c r="G9" s="3"/>
      <c r="H9" s="3"/>
      <c r="I9" s="3"/>
      <c r="J9" s="3"/>
      <c r="K9" s="3"/>
      <c r="L9" s="3"/>
      <c r="M9" s="3"/>
      <c r="N9" s="3">
        <f t="shared" si="0"/>
        <v>0</v>
      </c>
    </row>
    <row r="10" spans="1:14" ht="22.5" customHeight="1">
      <c r="A10" s="2" t="s">
        <v>16</v>
      </c>
      <c r="B10" s="3"/>
      <c r="C10" s="3"/>
      <c r="D10" s="3"/>
      <c r="E10" s="3"/>
      <c r="F10" s="3"/>
      <c r="G10" s="3"/>
      <c r="H10" s="3"/>
      <c r="I10" s="3"/>
      <c r="J10" s="3"/>
      <c r="K10" s="3"/>
      <c r="L10" s="3"/>
      <c r="M10" s="3"/>
      <c r="N10" s="3">
        <f t="shared" si="0"/>
        <v>0</v>
      </c>
    </row>
    <row r="11" spans="1:14" ht="22.5" customHeight="1">
      <c r="A11" s="4" t="s">
        <v>18</v>
      </c>
      <c r="B11" s="3">
        <v>500</v>
      </c>
      <c r="C11" s="3">
        <v>500</v>
      </c>
      <c r="D11" s="3">
        <v>500</v>
      </c>
      <c r="E11" s="3">
        <v>500</v>
      </c>
      <c r="F11" s="3">
        <v>500</v>
      </c>
      <c r="G11" s="3">
        <v>500</v>
      </c>
      <c r="H11" s="3">
        <v>500</v>
      </c>
      <c r="I11" s="3">
        <v>500</v>
      </c>
      <c r="J11" s="3">
        <v>500</v>
      </c>
      <c r="K11" s="3">
        <v>500</v>
      </c>
      <c r="L11" s="3">
        <v>500</v>
      </c>
      <c r="M11" s="3">
        <v>500</v>
      </c>
      <c r="N11" s="3">
        <f t="shared" si="0"/>
        <v>6000</v>
      </c>
    </row>
    <row r="12" spans="1:14" ht="22.5" customHeight="1">
      <c r="A12" s="4" t="s">
        <v>20</v>
      </c>
      <c r="B12" s="3">
        <v>500</v>
      </c>
      <c r="C12" s="3">
        <v>500</v>
      </c>
      <c r="D12" s="3">
        <v>500</v>
      </c>
      <c r="E12" s="3"/>
      <c r="F12" s="3">
        <v>500</v>
      </c>
      <c r="G12" s="3"/>
      <c r="H12" s="3">
        <v>500</v>
      </c>
      <c r="I12" s="3">
        <v>500</v>
      </c>
      <c r="J12" s="3">
        <v>500</v>
      </c>
      <c r="K12" s="3">
        <v>500</v>
      </c>
      <c r="L12" s="3">
        <v>500</v>
      </c>
      <c r="M12" s="3">
        <v>500</v>
      </c>
      <c r="N12" s="3">
        <f t="shared" si="0"/>
        <v>5000</v>
      </c>
    </row>
    <row r="13" spans="1:14" ht="22.5" customHeight="1">
      <c r="A13" s="4" t="s">
        <v>22</v>
      </c>
      <c r="B13" s="3"/>
      <c r="C13" s="3">
        <v>500</v>
      </c>
      <c r="D13" s="3">
        <v>500</v>
      </c>
      <c r="E13" s="3"/>
      <c r="F13" s="3"/>
      <c r="G13" s="3">
        <v>3300</v>
      </c>
      <c r="H13" s="3"/>
      <c r="I13" s="3">
        <v>500</v>
      </c>
      <c r="J13" s="3"/>
      <c r="K13" s="3">
        <v>500</v>
      </c>
      <c r="L13" s="3">
        <v>500</v>
      </c>
      <c r="M13" s="3">
        <v>500</v>
      </c>
      <c r="N13" s="3">
        <f t="shared" si="0"/>
        <v>6300</v>
      </c>
    </row>
    <row r="14" spans="1:14" ht="22.5" customHeight="1">
      <c r="A14" s="4" t="s">
        <v>24</v>
      </c>
      <c r="B14" s="3">
        <v>500</v>
      </c>
      <c r="C14" s="3">
        <v>500</v>
      </c>
      <c r="D14" s="3">
        <v>500</v>
      </c>
      <c r="E14" s="3">
        <v>500</v>
      </c>
      <c r="F14" s="3">
        <v>500</v>
      </c>
      <c r="G14" s="3">
        <v>500</v>
      </c>
      <c r="H14" s="3">
        <v>500</v>
      </c>
      <c r="I14" s="3">
        <v>500</v>
      </c>
      <c r="J14" s="3">
        <v>500</v>
      </c>
      <c r="K14" s="3">
        <v>500</v>
      </c>
      <c r="L14" s="3">
        <v>500</v>
      </c>
      <c r="M14" s="3">
        <v>500</v>
      </c>
      <c r="N14" s="3">
        <f t="shared" si="0"/>
        <v>6000</v>
      </c>
    </row>
    <row r="15" spans="1:14" ht="22.5" customHeight="1">
      <c r="A15" s="4" t="s">
        <v>25</v>
      </c>
      <c r="B15" s="3"/>
      <c r="C15" s="3"/>
      <c r="D15" s="3"/>
      <c r="E15" s="3"/>
      <c r="F15" s="3"/>
      <c r="G15" s="3"/>
      <c r="H15" s="3"/>
      <c r="I15" s="3"/>
      <c r="J15" s="3"/>
      <c r="K15" s="3"/>
      <c r="L15" s="3"/>
      <c r="M15" s="3"/>
      <c r="N15" s="3">
        <f t="shared" si="0"/>
        <v>0</v>
      </c>
    </row>
    <row r="16" spans="1:14" ht="22.5" customHeight="1">
      <c r="A16" s="2" t="s">
        <v>26</v>
      </c>
      <c r="B16" s="3"/>
      <c r="C16" s="3"/>
      <c r="D16" s="3">
        <v>500</v>
      </c>
      <c r="E16" s="3"/>
      <c r="F16" s="3">
        <v>500</v>
      </c>
      <c r="G16" s="3">
        <v>500</v>
      </c>
      <c r="H16" s="3"/>
      <c r="I16" s="3">
        <v>500</v>
      </c>
      <c r="J16" s="3">
        <v>500</v>
      </c>
      <c r="K16" s="3">
        <v>500</v>
      </c>
      <c r="L16" s="3">
        <v>500</v>
      </c>
      <c r="M16" s="3">
        <v>500</v>
      </c>
      <c r="N16" s="3">
        <f t="shared" si="0"/>
        <v>4000</v>
      </c>
    </row>
    <row r="17" spans="1:14" ht="22.5" customHeight="1">
      <c r="A17" s="2" t="s">
        <v>28</v>
      </c>
      <c r="B17" s="3"/>
      <c r="C17" s="3"/>
      <c r="D17" s="3"/>
      <c r="E17" s="3"/>
      <c r="F17" s="3"/>
      <c r="G17" s="3"/>
      <c r="H17" s="3"/>
      <c r="I17" s="3"/>
      <c r="J17" s="3"/>
      <c r="K17" s="3"/>
      <c r="L17" s="3"/>
      <c r="M17" s="3"/>
      <c r="N17" s="3">
        <f t="shared" si="0"/>
        <v>0</v>
      </c>
    </row>
    <row r="18" spans="1:14" ht="22.5" customHeight="1">
      <c r="A18" s="2" t="s">
        <v>29</v>
      </c>
      <c r="B18" s="3">
        <v>500</v>
      </c>
      <c r="C18" s="3"/>
      <c r="D18" s="3">
        <v>500</v>
      </c>
      <c r="E18" s="3"/>
      <c r="F18" s="3">
        <v>500</v>
      </c>
      <c r="G18" s="3">
        <v>500</v>
      </c>
      <c r="H18" s="3">
        <v>500</v>
      </c>
      <c r="I18" s="3">
        <v>500</v>
      </c>
      <c r="J18" s="3"/>
      <c r="K18" s="3"/>
      <c r="L18" s="3">
        <v>500</v>
      </c>
      <c r="M18" s="3">
        <v>500</v>
      </c>
      <c r="N18" s="3">
        <f t="shared" si="0"/>
        <v>4000</v>
      </c>
    </row>
    <row r="19" spans="1:14" ht="22.5" customHeight="1">
      <c r="A19" s="4" t="s">
        <v>31</v>
      </c>
      <c r="B19" s="3"/>
      <c r="C19" s="3"/>
      <c r="D19" s="3"/>
      <c r="E19" s="3"/>
      <c r="F19" s="3"/>
      <c r="G19" s="3"/>
      <c r="H19" s="3"/>
      <c r="I19" s="3"/>
      <c r="J19" s="3"/>
      <c r="K19" s="3"/>
      <c r="L19" s="3"/>
      <c r="M19" s="3">
        <v>1000</v>
      </c>
      <c r="N19" s="3">
        <f t="shared" si="0"/>
        <v>1000</v>
      </c>
    </row>
    <row r="20" spans="1:14" ht="22.5" customHeight="1">
      <c r="A20" s="2" t="s">
        <v>33</v>
      </c>
      <c r="B20" s="3">
        <v>500</v>
      </c>
      <c r="C20" s="3"/>
      <c r="D20" s="3">
        <v>500</v>
      </c>
      <c r="E20" s="3"/>
      <c r="F20" s="3">
        <v>500</v>
      </c>
      <c r="G20" s="3"/>
      <c r="H20" s="3"/>
      <c r="I20" s="3">
        <v>500</v>
      </c>
      <c r="J20" s="3">
        <v>500</v>
      </c>
      <c r="K20" s="3">
        <v>500</v>
      </c>
      <c r="L20" s="3">
        <v>500</v>
      </c>
      <c r="M20" s="3">
        <v>500</v>
      </c>
      <c r="N20" s="3">
        <f t="shared" si="0"/>
        <v>4000</v>
      </c>
    </row>
    <row r="21" spans="1:14" ht="22.5" customHeight="1">
      <c r="A21" s="2" t="s">
        <v>67</v>
      </c>
      <c r="B21" s="3"/>
      <c r="C21" s="3"/>
      <c r="D21" s="3"/>
      <c r="E21" s="3"/>
      <c r="F21" s="3"/>
      <c r="G21" s="3"/>
      <c r="H21" s="3"/>
      <c r="I21" s="3"/>
      <c r="J21" s="3"/>
      <c r="K21" s="3"/>
      <c r="L21" s="3"/>
      <c r="M21" s="3"/>
      <c r="N21" s="3">
        <f t="shared" si="0"/>
        <v>0</v>
      </c>
    </row>
    <row r="22" spans="1:14" ht="22.5" customHeight="1">
      <c r="A22" s="2" t="s">
        <v>37</v>
      </c>
      <c r="B22" s="3"/>
      <c r="C22" s="3"/>
      <c r="D22" s="3"/>
      <c r="E22" s="3"/>
      <c r="F22" s="3"/>
      <c r="G22" s="3"/>
      <c r="H22" s="3"/>
      <c r="I22" s="3">
        <v>1000</v>
      </c>
      <c r="J22" s="3"/>
      <c r="K22" s="3"/>
      <c r="L22" s="3">
        <v>1500</v>
      </c>
      <c r="M22" s="3"/>
      <c r="N22" s="3">
        <f t="shared" si="0"/>
        <v>2500</v>
      </c>
    </row>
    <row r="23" spans="1:14" ht="22.5" customHeight="1">
      <c r="A23" s="2" t="s">
        <v>39</v>
      </c>
      <c r="B23" s="3"/>
      <c r="C23" s="3">
        <v>1000</v>
      </c>
      <c r="D23" s="3">
        <v>500</v>
      </c>
      <c r="E23" s="3"/>
      <c r="F23" s="3">
        <v>500</v>
      </c>
      <c r="G23" s="3"/>
      <c r="H23" s="3">
        <v>500</v>
      </c>
      <c r="I23" s="3">
        <v>500</v>
      </c>
      <c r="J23" s="3">
        <v>500</v>
      </c>
      <c r="K23" s="3">
        <v>500</v>
      </c>
      <c r="L23" s="3">
        <v>500</v>
      </c>
      <c r="M23" s="3">
        <v>500</v>
      </c>
      <c r="N23" s="3">
        <f t="shared" si="0"/>
        <v>5000</v>
      </c>
    </row>
    <row r="24" spans="1:14" ht="22.5" customHeight="1">
      <c r="A24" s="32" t="s">
        <v>132</v>
      </c>
      <c r="B24" s="3"/>
      <c r="C24" s="3">
        <v>600</v>
      </c>
      <c r="D24" s="3">
        <f>5000+600</f>
        <v>5600</v>
      </c>
      <c r="E24" s="3"/>
      <c r="F24" s="3"/>
      <c r="G24" s="3">
        <v>0</v>
      </c>
      <c r="H24" s="3"/>
      <c r="I24" s="3">
        <v>600</v>
      </c>
      <c r="J24" s="3"/>
      <c r="K24" s="3">
        <v>600</v>
      </c>
      <c r="L24" s="3">
        <v>600</v>
      </c>
      <c r="M24" s="3">
        <v>600</v>
      </c>
      <c r="N24" s="3">
        <f t="shared" si="0"/>
        <v>8600</v>
      </c>
    </row>
    <row r="25" spans="1:14" ht="22.5" customHeight="1">
      <c r="A25" s="3" t="s">
        <v>55</v>
      </c>
      <c r="B25" s="3">
        <f t="shared" ref="B25:G25" si="1">SUM(B2:B24)</f>
        <v>4000</v>
      </c>
      <c r="C25" s="3">
        <f t="shared" si="1"/>
        <v>6100</v>
      </c>
      <c r="D25" s="3">
        <f t="shared" si="1"/>
        <v>12100</v>
      </c>
      <c r="E25" s="3">
        <f t="shared" si="1"/>
        <v>2500</v>
      </c>
      <c r="F25" s="3">
        <f t="shared" si="1"/>
        <v>6000</v>
      </c>
      <c r="G25" s="3">
        <f t="shared" si="1"/>
        <v>7800</v>
      </c>
      <c r="H25" s="3">
        <f t="shared" ref="H25:K25" si="2">SUM(H1:H24)</f>
        <v>4000</v>
      </c>
      <c r="I25" s="3">
        <f t="shared" si="2"/>
        <v>7100</v>
      </c>
      <c r="J25" s="3">
        <f t="shared" si="2"/>
        <v>4500</v>
      </c>
      <c r="K25" s="3">
        <f t="shared" si="2"/>
        <v>5600</v>
      </c>
      <c r="L25" s="3">
        <f>SUM(L2:L24)</f>
        <v>7600</v>
      </c>
      <c r="M25" s="3">
        <f t="shared" ref="M25:N25" si="3">SUM(M2:M24)</f>
        <v>7100</v>
      </c>
      <c r="N25" s="3">
        <f t="shared" si="3"/>
        <v>74400</v>
      </c>
    </row>
  </sheetData>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R2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5.6640625" customWidth="1"/>
    <col min="2" max="2" width="8.1640625" customWidth="1"/>
    <col min="3" max="3" width="7" customWidth="1"/>
    <col min="4" max="4" width="8.1640625" customWidth="1"/>
    <col min="5" max="5" width="8.83203125" customWidth="1"/>
    <col min="6" max="6" width="8.1640625" customWidth="1"/>
    <col min="7" max="7" width="9" customWidth="1"/>
    <col min="8" max="8" width="7.5" customWidth="1"/>
    <col min="9" max="9" width="8.1640625" customWidth="1"/>
    <col min="10" max="11" width="7.5" customWidth="1"/>
    <col min="12" max="12" width="7.6640625" customWidth="1"/>
    <col min="13" max="13" width="7.83203125" customWidth="1"/>
    <col min="14" max="14" width="9.1640625" customWidth="1"/>
    <col min="18" max="18" width="52.6640625" customWidth="1"/>
  </cols>
  <sheetData>
    <row r="1" spans="1:18" ht="22.5" customHeight="1">
      <c r="A1" s="1" t="s">
        <v>54</v>
      </c>
      <c r="B1" s="1" t="s">
        <v>115</v>
      </c>
      <c r="C1" s="1" t="s">
        <v>116</v>
      </c>
      <c r="D1" s="1" t="s">
        <v>117</v>
      </c>
      <c r="E1" s="1" t="s">
        <v>118</v>
      </c>
      <c r="F1" s="1" t="s">
        <v>119</v>
      </c>
      <c r="G1" s="1" t="s">
        <v>120</v>
      </c>
      <c r="H1" s="1" t="s">
        <v>121</v>
      </c>
      <c r="I1" s="1" t="s">
        <v>122</v>
      </c>
      <c r="J1" s="1" t="s">
        <v>123</v>
      </c>
      <c r="K1" s="1" t="s">
        <v>124</v>
      </c>
      <c r="L1" s="1" t="s">
        <v>125</v>
      </c>
      <c r="M1" s="1" t="s">
        <v>126</v>
      </c>
      <c r="N1" s="1" t="s">
        <v>55</v>
      </c>
    </row>
    <row r="2" spans="1:18" ht="22.5" customHeight="1">
      <c r="A2" s="2" t="s">
        <v>2</v>
      </c>
      <c r="B2" s="3"/>
      <c r="C2" s="3"/>
      <c r="D2" s="3"/>
      <c r="E2" s="3"/>
      <c r="F2" s="3"/>
      <c r="G2" s="3"/>
      <c r="H2" s="3"/>
      <c r="I2" s="3"/>
      <c r="J2" s="3"/>
      <c r="K2" s="3">
        <v>500</v>
      </c>
      <c r="L2" s="3">
        <v>500</v>
      </c>
      <c r="M2" s="3">
        <v>500</v>
      </c>
      <c r="N2" s="3">
        <f t="shared" ref="N2:N25" si="0">SUM(B2:M2)</f>
        <v>1500</v>
      </c>
    </row>
    <row r="3" spans="1:18" ht="22.5" customHeight="1">
      <c r="A3" s="2" t="s">
        <v>3</v>
      </c>
      <c r="B3" s="3"/>
      <c r="C3" s="3"/>
      <c r="D3" s="3"/>
      <c r="E3" s="3"/>
      <c r="F3" s="3"/>
      <c r="G3" s="3">
        <v>3000</v>
      </c>
      <c r="H3" s="3"/>
      <c r="I3" s="3"/>
      <c r="J3" s="3"/>
      <c r="K3" s="3"/>
      <c r="L3" s="3"/>
      <c r="M3" s="3"/>
      <c r="N3" s="3">
        <f t="shared" si="0"/>
        <v>3000</v>
      </c>
    </row>
    <row r="4" spans="1:18" ht="22.5" customHeight="1">
      <c r="A4" s="4" t="s">
        <v>5</v>
      </c>
      <c r="B4" s="3">
        <v>500</v>
      </c>
      <c r="C4" s="3">
        <v>500</v>
      </c>
      <c r="D4" s="3">
        <v>500</v>
      </c>
      <c r="E4" s="3"/>
      <c r="F4" s="3">
        <v>500</v>
      </c>
      <c r="G4" s="3">
        <v>500</v>
      </c>
      <c r="H4" s="3">
        <v>500</v>
      </c>
      <c r="I4" s="3">
        <v>500</v>
      </c>
      <c r="J4" s="3">
        <v>500</v>
      </c>
      <c r="K4" s="3">
        <v>500</v>
      </c>
      <c r="L4" s="3">
        <v>500</v>
      </c>
      <c r="M4" s="3">
        <v>500</v>
      </c>
      <c r="N4" s="3">
        <f t="shared" si="0"/>
        <v>5500</v>
      </c>
    </row>
    <row r="5" spans="1:18" ht="22.5" customHeight="1">
      <c r="A5" s="2" t="s">
        <v>7</v>
      </c>
      <c r="B5" s="3"/>
      <c r="C5" s="3"/>
      <c r="D5" s="3"/>
      <c r="E5" s="3">
        <v>500</v>
      </c>
      <c r="F5" s="3"/>
      <c r="G5" s="3">
        <v>500</v>
      </c>
      <c r="H5" s="3">
        <v>500</v>
      </c>
      <c r="I5" s="3">
        <v>500</v>
      </c>
      <c r="J5" s="3">
        <v>500</v>
      </c>
      <c r="K5" s="3">
        <v>500</v>
      </c>
      <c r="L5" s="3">
        <v>500</v>
      </c>
      <c r="M5" s="3">
        <v>500</v>
      </c>
      <c r="N5" s="3">
        <f t="shared" si="0"/>
        <v>4000</v>
      </c>
    </row>
    <row r="6" spans="1:18" ht="22.5" customHeight="1">
      <c r="A6" s="4" t="s">
        <v>9</v>
      </c>
      <c r="B6" s="3"/>
      <c r="C6" s="3"/>
      <c r="D6" s="3"/>
      <c r="E6" s="3"/>
      <c r="F6" s="3"/>
      <c r="G6" s="3"/>
      <c r="H6" s="3"/>
      <c r="I6" s="3"/>
      <c r="J6" s="3"/>
      <c r="K6" s="3"/>
      <c r="L6" s="3"/>
      <c r="M6" s="3"/>
      <c r="N6" s="3">
        <f t="shared" si="0"/>
        <v>0</v>
      </c>
    </row>
    <row r="7" spans="1:18" ht="22.5" customHeight="1">
      <c r="A7" s="5" t="s">
        <v>10</v>
      </c>
      <c r="B7" s="3"/>
      <c r="C7" s="3"/>
      <c r="D7" s="3"/>
      <c r="E7" s="3"/>
      <c r="F7" s="3"/>
      <c r="G7" s="3"/>
      <c r="H7" s="3"/>
      <c r="I7" s="3"/>
      <c r="J7" s="3"/>
      <c r="K7" s="3"/>
      <c r="L7" s="3"/>
      <c r="M7" s="3"/>
      <c r="N7" s="3">
        <f t="shared" si="0"/>
        <v>0</v>
      </c>
    </row>
    <row r="8" spans="1:18" ht="22.5" customHeight="1">
      <c r="A8" s="2" t="s">
        <v>12</v>
      </c>
      <c r="B8" s="3"/>
      <c r="C8" s="3">
        <v>500</v>
      </c>
      <c r="D8" s="3">
        <v>1000</v>
      </c>
      <c r="E8" s="3">
        <v>1000</v>
      </c>
      <c r="F8" s="3">
        <v>500</v>
      </c>
      <c r="G8" s="3">
        <v>500</v>
      </c>
      <c r="H8" s="3">
        <v>500</v>
      </c>
      <c r="I8" s="3"/>
      <c r="J8" s="3">
        <v>500</v>
      </c>
      <c r="K8" s="3">
        <v>500</v>
      </c>
      <c r="L8" s="3">
        <v>500</v>
      </c>
      <c r="M8" s="3">
        <v>500</v>
      </c>
      <c r="N8" s="3">
        <f t="shared" si="0"/>
        <v>6000</v>
      </c>
    </row>
    <row r="9" spans="1:18" ht="22.5" customHeight="1">
      <c r="A9" s="2" t="s">
        <v>14</v>
      </c>
      <c r="B9" s="3"/>
      <c r="C9" s="3"/>
      <c r="D9" s="3"/>
      <c r="E9" s="3"/>
      <c r="F9" s="3"/>
      <c r="G9" s="3"/>
      <c r="H9" s="3"/>
      <c r="I9" s="3"/>
      <c r="J9" s="3"/>
      <c r="K9" s="3"/>
      <c r="L9" s="3"/>
      <c r="M9" s="3"/>
      <c r="N9" s="3">
        <f t="shared" si="0"/>
        <v>0</v>
      </c>
    </row>
    <row r="10" spans="1:18" ht="22.5" customHeight="1">
      <c r="A10" s="2" t="s">
        <v>16</v>
      </c>
      <c r="B10" s="3"/>
      <c r="C10" s="3"/>
      <c r="D10" s="3"/>
      <c r="E10" s="3"/>
      <c r="F10" s="3"/>
      <c r="G10" s="3"/>
      <c r="H10" s="3"/>
      <c r="I10" s="3"/>
      <c r="J10" s="3"/>
      <c r="K10" s="3"/>
      <c r="L10" s="3"/>
      <c r="M10" s="3"/>
      <c r="N10" s="3">
        <f t="shared" si="0"/>
        <v>0</v>
      </c>
    </row>
    <row r="11" spans="1:18" ht="22.5" customHeight="1">
      <c r="A11" s="4" t="s">
        <v>18</v>
      </c>
      <c r="B11" s="3">
        <v>500</v>
      </c>
      <c r="C11" s="3">
        <v>500</v>
      </c>
      <c r="D11" s="3">
        <v>500</v>
      </c>
      <c r="E11" s="3"/>
      <c r="F11" s="3">
        <v>500</v>
      </c>
      <c r="G11" s="3">
        <v>500</v>
      </c>
      <c r="H11" s="3">
        <v>500</v>
      </c>
      <c r="I11" s="3">
        <v>500</v>
      </c>
      <c r="J11" s="3">
        <v>500</v>
      </c>
      <c r="K11" s="3">
        <v>500</v>
      </c>
      <c r="L11" s="3">
        <v>500</v>
      </c>
      <c r="M11" s="3">
        <v>500</v>
      </c>
      <c r="N11" s="3">
        <f t="shared" si="0"/>
        <v>5500</v>
      </c>
      <c r="R11" s="20" t="s">
        <v>133</v>
      </c>
    </row>
    <row r="12" spans="1:18" ht="22.5" customHeight="1">
      <c r="A12" s="4" t="s">
        <v>20</v>
      </c>
      <c r="B12" s="3">
        <v>500</v>
      </c>
      <c r="C12" s="3">
        <v>500</v>
      </c>
      <c r="D12" s="3">
        <v>500</v>
      </c>
      <c r="E12" s="3"/>
      <c r="F12" s="3">
        <v>500</v>
      </c>
      <c r="G12" s="3">
        <v>500</v>
      </c>
      <c r="H12" s="3">
        <v>500</v>
      </c>
      <c r="I12" s="3">
        <v>500</v>
      </c>
      <c r="J12" s="3">
        <v>500</v>
      </c>
      <c r="K12" s="3">
        <v>500</v>
      </c>
      <c r="L12" s="3">
        <v>500</v>
      </c>
      <c r="M12" s="3">
        <v>500</v>
      </c>
      <c r="N12" s="3">
        <f t="shared" si="0"/>
        <v>5500</v>
      </c>
      <c r="R12" s="20" t="s">
        <v>134</v>
      </c>
    </row>
    <row r="13" spans="1:18" ht="22.5" customHeight="1">
      <c r="A13" s="4" t="s">
        <v>22</v>
      </c>
      <c r="B13" s="3"/>
      <c r="C13" s="3"/>
      <c r="D13" s="3"/>
      <c r="E13" s="3">
        <v>500</v>
      </c>
      <c r="F13" s="3"/>
      <c r="G13" s="3">
        <v>1000</v>
      </c>
      <c r="H13" s="3"/>
      <c r="I13" s="3"/>
      <c r="J13" s="3">
        <v>500</v>
      </c>
      <c r="K13" s="3"/>
      <c r="L13" s="3">
        <v>500</v>
      </c>
      <c r="M13" s="3"/>
      <c r="N13" s="3">
        <f t="shared" si="0"/>
        <v>2500</v>
      </c>
    </row>
    <row r="14" spans="1:18" ht="22.5" customHeight="1">
      <c r="A14" s="4" t="s">
        <v>24</v>
      </c>
      <c r="B14" s="3">
        <v>500</v>
      </c>
      <c r="C14" s="3">
        <v>500</v>
      </c>
      <c r="D14" s="3">
        <v>500</v>
      </c>
      <c r="E14" s="3"/>
      <c r="F14" s="3">
        <v>500</v>
      </c>
      <c r="G14" s="3">
        <v>500</v>
      </c>
      <c r="H14" s="3">
        <v>500</v>
      </c>
      <c r="I14" s="3">
        <v>500</v>
      </c>
      <c r="J14" s="3">
        <v>500</v>
      </c>
      <c r="K14" s="3">
        <v>500</v>
      </c>
      <c r="L14" s="3">
        <v>500</v>
      </c>
      <c r="M14" s="3">
        <v>500</v>
      </c>
      <c r="N14" s="3">
        <f t="shared" si="0"/>
        <v>5500</v>
      </c>
    </row>
    <row r="15" spans="1:18" ht="22.5" customHeight="1">
      <c r="A15" s="4" t="s">
        <v>25</v>
      </c>
      <c r="B15" s="3"/>
      <c r="C15" s="3"/>
      <c r="D15" s="3"/>
      <c r="E15" s="3"/>
      <c r="F15" s="3"/>
      <c r="G15" s="3"/>
      <c r="H15" s="3"/>
      <c r="I15" s="3"/>
      <c r="J15" s="3"/>
      <c r="K15" s="3"/>
      <c r="L15" s="3"/>
      <c r="M15" s="3"/>
      <c r="N15" s="3">
        <f t="shared" si="0"/>
        <v>0</v>
      </c>
    </row>
    <row r="16" spans="1:18" ht="22.5" customHeight="1">
      <c r="A16" s="2" t="s">
        <v>26</v>
      </c>
      <c r="B16" s="3">
        <v>500</v>
      </c>
      <c r="C16" s="3"/>
      <c r="D16" s="3"/>
      <c r="E16" s="3"/>
      <c r="F16" s="3"/>
      <c r="G16" s="3">
        <v>2500</v>
      </c>
      <c r="H16" s="3"/>
      <c r="I16" s="3"/>
      <c r="J16" s="3"/>
      <c r="K16" s="3">
        <v>2000</v>
      </c>
      <c r="L16" s="3">
        <v>500</v>
      </c>
      <c r="M16" s="3">
        <v>500</v>
      </c>
      <c r="N16" s="3">
        <f t="shared" si="0"/>
        <v>6000</v>
      </c>
    </row>
    <row r="17" spans="1:14" ht="22.5" customHeight="1">
      <c r="A17" s="2" t="s">
        <v>28</v>
      </c>
      <c r="B17" s="3"/>
      <c r="C17" s="3"/>
      <c r="D17" s="3"/>
      <c r="E17" s="3"/>
      <c r="F17" s="3"/>
      <c r="G17" s="3"/>
      <c r="H17" s="3"/>
      <c r="I17" s="3"/>
      <c r="J17" s="3"/>
      <c r="K17" s="3"/>
      <c r="L17" s="3"/>
      <c r="M17" s="3"/>
      <c r="N17" s="3">
        <f t="shared" si="0"/>
        <v>0</v>
      </c>
    </row>
    <row r="18" spans="1:14" ht="22.5" customHeight="1">
      <c r="A18" s="2" t="s">
        <v>29</v>
      </c>
      <c r="B18" s="3">
        <v>500</v>
      </c>
      <c r="C18" s="3">
        <v>500</v>
      </c>
      <c r="D18" s="3">
        <v>500</v>
      </c>
      <c r="E18" s="3"/>
      <c r="F18" s="3"/>
      <c r="G18" s="3">
        <v>500</v>
      </c>
      <c r="H18" s="3">
        <v>500</v>
      </c>
      <c r="I18" s="3">
        <v>500</v>
      </c>
      <c r="J18" s="3">
        <v>500</v>
      </c>
      <c r="K18" s="3">
        <v>500</v>
      </c>
      <c r="L18" s="3">
        <v>500</v>
      </c>
      <c r="M18" s="3">
        <v>500</v>
      </c>
      <c r="N18" s="3">
        <f t="shared" si="0"/>
        <v>5000</v>
      </c>
    </row>
    <row r="19" spans="1:14" ht="22.5" customHeight="1">
      <c r="A19" s="4" t="s">
        <v>31</v>
      </c>
      <c r="B19" s="3"/>
      <c r="C19" s="3"/>
      <c r="D19" s="3"/>
      <c r="E19" s="3"/>
      <c r="F19" s="3"/>
      <c r="G19" s="3"/>
      <c r="H19" s="3"/>
      <c r="I19" s="3"/>
      <c r="J19" s="3"/>
      <c r="K19" s="3"/>
      <c r="L19" s="3"/>
      <c r="M19" s="3"/>
      <c r="N19" s="3">
        <f t="shared" si="0"/>
        <v>0</v>
      </c>
    </row>
    <row r="20" spans="1:14" ht="22.5" customHeight="1">
      <c r="A20" s="2" t="s">
        <v>33</v>
      </c>
      <c r="B20" s="3"/>
      <c r="C20" s="3">
        <v>500</v>
      </c>
      <c r="D20" s="3">
        <v>500</v>
      </c>
      <c r="E20" s="3">
        <v>500</v>
      </c>
      <c r="F20" s="3">
        <v>500</v>
      </c>
      <c r="G20" s="3">
        <v>500</v>
      </c>
      <c r="H20" s="3">
        <v>500</v>
      </c>
      <c r="I20" s="3">
        <v>500</v>
      </c>
      <c r="J20" s="3">
        <v>500</v>
      </c>
      <c r="K20" s="3">
        <v>500</v>
      </c>
      <c r="L20" s="3">
        <v>500</v>
      </c>
      <c r="M20" s="3"/>
      <c r="N20" s="3">
        <f t="shared" si="0"/>
        <v>5000</v>
      </c>
    </row>
    <row r="21" spans="1:14" ht="22.5" customHeight="1">
      <c r="A21" s="2" t="s">
        <v>67</v>
      </c>
      <c r="B21" s="3"/>
      <c r="C21" s="3"/>
      <c r="D21" s="3"/>
      <c r="E21" s="3"/>
      <c r="F21" s="3"/>
      <c r="G21" s="3"/>
      <c r="H21" s="3"/>
      <c r="I21" s="3"/>
      <c r="J21" s="3"/>
      <c r="K21" s="3"/>
      <c r="L21" s="3"/>
      <c r="M21" s="3"/>
      <c r="N21" s="3">
        <f t="shared" si="0"/>
        <v>0</v>
      </c>
    </row>
    <row r="22" spans="1:14" ht="22.5" customHeight="1">
      <c r="A22" s="2" t="s">
        <v>37</v>
      </c>
      <c r="B22" s="3"/>
      <c r="C22" s="3"/>
      <c r="D22" s="3"/>
      <c r="E22" s="3"/>
      <c r="F22" s="3">
        <v>500</v>
      </c>
      <c r="G22" s="3"/>
      <c r="H22" s="3">
        <v>500</v>
      </c>
      <c r="I22" s="3"/>
      <c r="J22" s="3">
        <v>1000</v>
      </c>
      <c r="K22" s="3">
        <v>1000</v>
      </c>
      <c r="L22" s="3"/>
      <c r="M22" s="3"/>
      <c r="N22" s="3">
        <f t="shared" si="0"/>
        <v>3000</v>
      </c>
    </row>
    <row r="23" spans="1:14" ht="22.5" customHeight="1">
      <c r="A23" s="2" t="s">
        <v>39</v>
      </c>
      <c r="B23" s="3"/>
      <c r="C23" s="3">
        <v>500</v>
      </c>
      <c r="D23" s="3"/>
      <c r="E23" s="3"/>
      <c r="F23" s="3">
        <v>500</v>
      </c>
      <c r="G23" s="3"/>
      <c r="H23" s="3">
        <v>500</v>
      </c>
      <c r="I23" s="3"/>
      <c r="J23" s="3">
        <v>500</v>
      </c>
      <c r="K23" s="3"/>
      <c r="L23" s="3"/>
      <c r="M23" s="3">
        <v>500</v>
      </c>
      <c r="N23" s="3">
        <f t="shared" si="0"/>
        <v>2500</v>
      </c>
    </row>
    <row r="24" spans="1:14" ht="22.5" customHeight="1">
      <c r="A24" s="2" t="s">
        <v>135</v>
      </c>
      <c r="B24" s="3"/>
      <c r="C24" s="3"/>
      <c r="D24" s="3"/>
      <c r="E24" s="3"/>
      <c r="F24" s="3">
        <v>500</v>
      </c>
      <c r="G24" s="3">
        <v>500</v>
      </c>
      <c r="H24" s="3">
        <v>500</v>
      </c>
      <c r="I24" s="3"/>
      <c r="J24" s="3"/>
      <c r="K24" s="3">
        <v>500</v>
      </c>
      <c r="L24" s="3">
        <v>500</v>
      </c>
      <c r="M24" s="3">
        <v>500</v>
      </c>
      <c r="N24" s="3">
        <f t="shared" si="0"/>
        <v>3000</v>
      </c>
    </row>
    <row r="25" spans="1:14" ht="22.5" customHeight="1">
      <c r="A25" s="32" t="s">
        <v>132</v>
      </c>
      <c r="B25" s="3"/>
      <c r="C25" s="3"/>
      <c r="D25" s="3"/>
      <c r="E25" s="3"/>
      <c r="F25" s="3"/>
      <c r="G25" s="3"/>
      <c r="H25" s="3"/>
      <c r="I25" s="3"/>
      <c r="J25" s="3"/>
      <c r="K25" s="3"/>
      <c r="L25" s="3">
        <v>600</v>
      </c>
      <c r="M25" s="3"/>
      <c r="N25" s="3">
        <f t="shared" si="0"/>
        <v>600</v>
      </c>
    </row>
    <row r="26" spans="1:14" ht="22.5" customHeight="1">
      <c r="A26" s="3" t="s">
        <v>55</v>
      </c>
      <c r="B26" s="3">
        <f t="shared" ref="B26:G26" si="1">SUM(B2:B25)</f>
        <v>3000</v>
      </c>
      <c r="C26" s="3">
        <f t="shared" si="1"/>
        <v>4000</v>
      </c>
      <c r="D26" s="3">
        <f t="shared" si="1"/>
        <v>4000</v>
      </c>
      <c r="E26" s="3">
        <f t="shared" si="1"/>
        <v>2500</v>
      </c>
      <c r="F26" s="3">
        <f t="shared" si="1"/>
        <v>4500</v>
      </c>
      <c r="G26" s="3">
        <f t="shared" si="1"/>
        <v>11000</v>
      </c>
      <c r="H26" s="3">
        <f t="shared" ref="H26:M26" si="2">SUM(H1:H25)</f>
        <v>5500</v>
      </c>
      <c r="I26" s="3">
        <f t="shared" si="2"/>
        <v>3500</v>
      </c>
      <c r="J26" s="3">
        <f t="shared" si="2"/>
        <v>6000</v>
      </c>
      <c r="K26" s="3">
        <f t="shared" si="2"/>
        <v>8000</v>
      </c>
      <c r="L26" s="3">
        <f t="shared" si="2"/>
        <v>6600</v>
      </c>
      <c r="M26" s="3">
        <f t="shared" si="2"/>
        <v>5500</v>
      </c>
      <c r="N26" s="3">
        <f>SUM(N2:N25)</f>
        <v>64100</v>
      </c>
    </row>
  </sheetData>
  <pageMargins left="0.7" right="0.7" top="0.75" bottom="0.75" header="0.3" footer="0.3"/>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5.6640625" customWidth="1"/>
    <col min="2" max="3" width="8.1640625" customWidth="1"/>
    <col min="4" max="4" width="8.33203125" customWidth="1"/>
    <col min="5" max="5" width="8.1640625" customWidth="1"/>
    <col min="6" max="6" width="8.6640625" customWidth="1"/>
    <col min="7" max="7" width="8.1640625" customWidth="1"/>
    <col min="8" max="8" width="8.5" customWidth="1"/>
    <col min="9" max="9" width="8.33203125" customWidth="1"/>
    <col min="10" max="10" width="7.1640625" customWidth="1"/>
    <col min="11" max="11" width="8.1640625" customWidth="1"/>
    <col min="12" max="13" width="5" customWidth="1"/>
  </cols>
  <sheetData>
    <row r="1" spans="1:14" ht="22.5" customHeight="1">
      <c r="A1" s="1" t="s">
        <v>54</v>
      </c>
      <c r="B1" s="1" t="s">
        <v>115</v>
      </c>
      <c r="C1" s="1" t="s">
        <v>116</v>
      </c>
      <c r="D1" s="1" t="s">
        <v>117</v>
      </c>
      <c r="E1" s="1" t="s">
        <v>118</v>
      </c>
      <c r="F1" s="1" t="s">
        <v>119</v>
      </c>
      <c r="G1" s="1" t="s">
        <v>120</v>
      </c>
      <c r="H1" s="1" t="s">
        <v>121</v>
      </c>
      <c r="I1" s="1" t="s">
        <v>122</v>
      </c>
      <c r="J1" s="1" t="s">
        <v>123</v>
      </c>
      <c r="K1" s="1" t="s">
        <v>124</v>
      </c>
      <c r="L1" s="1" t="s">
        <v>125</v>
      </c>
      <c r="M1" s="1" t="s">
        <v>126</v>
      </c>
      <c r="N1" s="1" t="s">
        <v>55</v>
      </c>
    </row>
    <row r="2" spans="1:14" ht="22.5" customHeight="1">
      <c r="A2" s="2" t="s">
        <v>2</v>
      </c>
      <c r="B2" s="3">
        <v>500</v>
      </c>
      <c r="C2" s="3"/>
      <c r="D2" s="3"/>
      <c r="E2" s="3"/>
      <c r="F2" s="3"/>
      <c r="G2" s="3"/>
      <c r="H2" s="3"/>
      <c r="I2" s="3"/>
      <c r="J2" s="3"/>
      <c r="K2" s="3"/>
      <c r="L2" s="3"/>
      <c r="M2" s="3"/>
      <c r="N2" s="3">
        <f t="shared" ref="N2:N24" si="0">SUM(B2:M2)</f>
        <v>500</v>
      </c>
    </row>
    <row r="3" spans="1:14" ht="22.5" customHeight="1">
      <c r="A3" s="2" t="s">
        <v>3</v>
      </c>
      <c r="B3" s="3"/>
      <c r="C3" s="3"/>
      <c r="D3" s="3"/>
      <c r="E3" s="3"/>
      <c r="F3" s="3"/>
      <c r="G3" s="3">
        <v>1000</v>
      </c>
      <c r="H3" s="3"/>
      <c r="I3" s="3">
        <v>500</v>
      </c>
      <c r="J3" s="3"/>
      <c r="K3" s="3"/>
      <c r="L3" s="3"/>
      <c r="M3" s="3"/>
      <c r="N3" s="3">
        <f t="shared" si="0"/>
        <v>1500</v>
      </c>
    </row>
    <row r="4" spans="1:14" ht="22.5" customHeight="1">
      <c r="A4" s="4" t="s">
        <v>5</v>
      </c>
      <c r="B4" s="3">
        <v>500</v>
      </c>
      <c r="C4" s="3">
        <v>500</v>
      </c>
      <c r="D4" s="3">
        <v>500</v>
      </c>
      <c r="E4" s="3">
        <v>500</v>
      </c>
      <c r="F4" s="3">
        <v>500</v>
      </c>
      <c r="G4" s="3">
        <v>500</v>
      </c>
      <c r="H4" s="3">
        <v>500</v>
      </c>
      <c r="I4" s="3">
        <v>500</v>
      </c>
      <c r="J4" s="3">
        <v>500</v>
      </c>
      <c r="K4" s="3"/>
      <c r="L4" s="3">
        <v>500</v>
      </c>
      <c r="M4" s="3">
        <v>500</v>
      </c>
      <c r="N4" s="3">
        <f t="shared" si="0"/>
        <v>5500</v>
      </c>
    </row>
    <row r="5" spans="1:14" ht="22.5" customHeight="1">
      <c r="A5" s="2" t="s">
        <v>7</v>
      </c>
      <c r="B5" s="3">
        <v>1000</v>
      </c>
      <c r="C5" s="3">
        <v>500</v>
      </c>
      <c r="D5" s="3">
        <v>500</v>
      </c>
      <c r="E5" s="3"/>
      <c r="F5" s="3"/>
      <c r="G5" s="3"/>
      <c r="H5" s="3">
        <v>500</v>
      </c>
      <c r="I5" s="3"/>
      <c r="J5" s="3"/>
      <c r="K5" s="3"/>
      <c r="L5" s="3"/>
      <c r="M5" s="3"/>
      <c r="N5" s="3">
        <f t="shared" si="0"/>
        <v>2500</v>
      </c>
    </row>
    <row r="6" spans="1:14" ht="22.5" customHeight="1">
      <c r="A6" s="4" t="s">
        <v>9</v>
      </c>
      <c r="B6" s="3"/>
      <c r="C6" s="3">
        <v>500</v>
      </c>
      <c r="D6" s="3">
        <v>1000</v>
      </c>
      <c r="E6" s="3"/>
      <c r="F6" s="3"/>
      <c r="G6" s="3">
        <v>1000</v>
      </c>
      <c r="H6" s="3"/>
      <c r="I6" s="3"/>
      <c r="J6" s="3"/>
      <c r="K6" s="3"/>
      <c r="L6" s="3"/>
      <c r="M6" s="3"/>
      <c r="N6" s="3">
        <f t="shared" si="0"/>
        <v>2500</v>
      </c>
    </row>
    <row r="7" spans="1:14" ht="22.5" customHeight="1">
      <c r="A7" s="5" t="s">
        <v>10</v>
      </c>
      <c r="B7" s="3"/>
      <c r="C7" s="3"/>
      <c r="D7" s="3"/>
      <c r="E7" s="3"/>
      <c r="F7" s="3"/>
      <c r="G7" s="3"/>
      <c r="H7" s="3"/>
      <c r="I7" s="3"/>
      <c r="J7" s="3"/>
      <c r="K7" s="3"/>
      <c r="L7" s="3"/>
      <c r="M7" s="3"/>
      <c r="N7" s="3">
        <f t="shared" si="0"/>
        <v>0</v>
      </c>
    </row>
    <row r="8" spans="1:14" ht="22.5" customHeight="1">
      <c r="A8" s="2" t="s">
        <v>12</v>
      </c>
      <c r="B8" s="3">
        <v>500</v>
      </c>
      <c r="C8" s="3">
        <v>500</v>
      </c>
      <c r="D8" s="3">
        <v>500</v>
      </c>
      <c r="E8" s="3"/>
      <c r="F8" s="3">
        <v>1000</v>
      </c>
      <c r="G8" s="3">
        <v>1000</v>
      </c>
      <c r="H8" s="3">
        <v>1000</v>
      </c>
      <c r="I8" s="3">
        <v>1000</v>
      </c>
      <c r="J8" s="3">
        <v>500</v>
      </c>
      <c r="K8" s="3"/>
      <c r="L8" s="3">
        <v>500</v>
      </c>
      <c r="M8" s="3">
        <v>500</v>
      </c>
      <c r="N8" s="3">
        <f t="shared" si="0"/>
        <v>7000</v>
      </c>
    </row>
    <row r="9" spans="1:14" ht="22.5" customHeight="1">
      <c r="A9" s="2" t="s">
        <v>14</v>
      </c>
      <c r="B9" s="3"/>
      <c r="C9" s="3">
        <v>500</v>
      </c>
      <c r="D9" s="3">
        <v>500</v>
      </c>
      <c r="E9" s="3"/>
      <c r="F9" s="3"/>
      <c r="G9" s="3"/>
      <c r="H9" s="3">
        <v>1000</v>
      </c>
      <c r="I9" s="3"/>
      <c r="J9" s="3"/>
      <c r="K9" s="3"/>
      <c r="L9" s="3"/>
      <c r="M9" s="3"/>
      <c r="N9" s="3">
        <f t="shared" si="0"/>
        <v>2000</v>
      </c>
    </row>
    <row r="10" spans="1:14" ht="22.5" customHeight="1">
      <c r="A10" s="2" t="s">
        <v>16</v>
      </c>
      <c r="B10" s="3"/>
      <c r="C10" s="3"/>
      <c r="D10" s="3"/>
      <c r="E10" s="3"/>
      <c r="F10" s="3"/>
      <c r="G10" s="3"/>
      <c r="H10" s="3"/>
      <c r="I10" s="3"/>
      <c r="J10" s="3"/>
      <c r="K10" s="3"/>
      <c r="L10" s="3"/>
      <c r="M10" s="3"/>
      <c r="N10" s="3">
        <f t="shared" si="0"/>
        <v>0</v>
      </c>
    </row>
    <row r="11" spans="1:14" ht="22.5" customHeight="1">
      <c r="A11" s="4" t="s">
        <v>18</v>
      </c>
      <c r="B11" s="3">
        <v>500</v>
      </c>
      <c r="C11" s="3">
        <v>500</v>
      </c>
      <c r="D11" s="3">
        <v>500</v>
      </c>
      <c r="E11" s="3">
        <v>500</v>
      </c>
      <c r="F11" s="3">
        <v>500</v>
      </c>
      <c r="G11" s="3">
        <v>500</v>
      </c>
      <c r="H11" s="3">
        <v>500</v>
      </c>
      <c r="I11" s="3">
        <v>500</v>
      </c>
      <c r="J11" s="3">
        <v>500</v>
      </c>
      <c r="K11" s="3"/>
      <c r="L11" s="3">
        <v>500</v>
      </c>
      <c r="M11" s="3">
        <v>500</v>
      </c>
      <c r="N11" s="3">
        <f t="shared" si="0"/>
        <v>5500</v>
      </c>
    </row>
    <row r="12" spans="1:14" ht="22.5" customHeight="1">
      <c r="A12" s="4" t="s">
        <v>20</v>
      </c>
      <c r="B12" s="3">
        <v>500</v>
      </c>
      <c r="C12" s="3">
        <v>500</v>
      </c>
      <c r="D12" s="3">
        <v>500</v>
      </c>
      <c r="E12" s="3">
        <v>500</v>
      </c>
      <c r="F12" s="3">
        <v>500</v>
      </c>
      <c r="G12" s="3">
        <v>500</v>
      </c>
      <c r="H12" s="3">
        <v>500</v>
      </c>
      <c r="I12" s="3">
        <v>500</v>
      </c>
      <c r="J12" s="3">
        <v>500</v>
      </c>
      <c r="K12" s="3"/>
      <c r="L12" s="3">
        <v>500</v>
      </c>
      <c r="M12" s="3">
        <v>500</v>
      </c>
      <c r="N12" s="3">
        <f t="shared" si="0"/>
        <v>5500</v>
      </c>
    </row>
    <row r="13" spans="1:14" ht="22.5" customHeight="1">
      <c r="A13" s="4" t="s">
        <v>22</v>
      </c>
      <c r="B13" s="3"/>
      <c r="C13" s="3">
        <v>1000</v>
      </c>
      <c r="D13" s="3">
        <v>1000</v>
      </c>
      <c r="E13" s="3"/>
      <c r="F13" s="3"/>
      <c r="G13" s="3">
        <v>1000</v>
      </c>
      <c r="H13" s="3">
        <v>1000</v>
      </c>
      <c r="I13" s="3">
        <v>500</v>
      </c>
      <c r="J13" s="3">
        <v>500</v>
      </c>
      <c r="K13" s="3"/>
      <c r="L13" s="3"/>
      <c r="M13" s="3"/>
      <c r="N13" s="3">
        <f t="shared" si="0"/>
        <v>5000</v>
      </c>
    </row>
    <row r="14" spans="1:14" ht="22.5" customHeight="1">
      <c r="A14" s="4" t="s">
        <v>24</v>
      </c>
      <c r="B14" s="3">
        <v>500</v>
      </c>
      <c r="C14" s="3">
        <v>500</v>
      </c>
      <c r="D14" s="3">
        <v>500</v>
      </c>
      <c r="E14" s="3">
        <v>500</v>
      </c>
      <c r="F14" s="3">
        <v>500</v>
      </c>
      <c r="G14" s="3">
        <v>500</v>
      </c>
      <c r="H14" s="3">
        <v>500</v>
      </c>
      <c r="I14" s="3">
        <v>500</v>
      </c>
      <c r="J14" s="3">
        <v>500</v>
      </c>
      <c r="K14" s="3"/>
      <c r="L14" s="3">
        <v>500</v>
      </c>
      <c r="M14" s="3">
        <v>500</v>
      </c>
      <c r="N14" s="3">
        <f t="shared" si="0"/>
        <v>5500</v>
      </c>
    </row>
    <row r="15" spans="1:14" ht="22.5" customHeight="1">
      <c r="A15" s="4" t="s">
        <v>25</v>
      </c>
      <c r="B15" s="3"/>
      <c r="C15" s="3"/>
      <c r="D15" s="3"/>
      <c r="E15" s="3"/>
      <c r="F15" s="3"/>
      <c r="G15" s="3"/>
      <c r="H15" s="3"/>
      <c r="I15" s="3"/>
      <c r="J15" s="3"/>
      <c r="K15" s="3"/>
      <c r="L15" s="3"/>
      <c r="M15" s="3"/>
      <c r="N15" s="3">
        <f t="shared" si="0"/>
        <v>0</v>
      </c>
    </row>
    <row r="16" spans="1:14" ht="22.5" customHeight="1">
      <c r="A16" s="2" t="s">
        <v>26</v>
      </c>
      <c r="B16" s="3">
        <v>500</v>
      </c>
      <c r="C16" s="3">
        <v>500</v>
      </c>
      <c r="D16" s="3">
        <v>500</v>
      </c>
      <c r="E16" s="3">
        <v>500</v>
      </c>
      <c r="F16" s="3">
        <v>500</v>
      </c>
      <c r="G16" s="3">
        <v>500</v>
      </c>
      <c r="H16" s="3">
        <v>500</v>
      </c>
      <c r="I16" s="3">
        <v>500</v>
      </c>
      <c r="J16" s="3">
        <v>500</v>
      </c>
      <c r="K16" s="3"/>
      <c r="L16" s="3">
        <v>500</v>
      </c>
      <c r="M16" s="3">
        <v>500</v>
      </c>
      <c r="N16" s="3">
        <f t="shared" si="0"/>
        <v>5500</v>
      </c>
    </row>
    <row r="17" spans="1:14" ht="22.5" customHeight="1">
      <c r="A17" s="2" t="s">
        <v>28</v>
      </c>
      <c r="B17" s="3"/>
      <c r="C17" s="3"/>
      <c r="D17" s="3">
        <v>4600</v>
      </c>
      <c r="E17" s="3"/>
      <c r="F17" s="3"/>
      <c r="G17" s="3"/>
      <c r="H17" s="3"/>
      <c r="I17" s="3"/>
      <c r="J17" s="3"/>
      <c r="K17" s="3"/>
      <c r="L17" s="3"/>
      <c r="M17" s="3"/>
      <c r="N17" s="3">
        <f t="shared" si="0"/>
        <v>4600</v>
      </c>
    </row>
    <row r="18" spans="1:14" ht="22.5" customHeight="1">
      <c r="A18" s="2" t="s">
        <v>29</v>
      </c>
      <c r="B18" s="3">
        <v>500</v>
      </c>
      <c r="C18" s="3">
        <v>500</v>
      </c>
      <c r="D18" s="3">
        <v>500</v>
      </c>
      <c r="E18" s="3">
        <v>500</v>
      </c>
      <c r="F18" s="3">
        <v>500</v>
      </c>
      <c r="G18" s="3">
        <v>500</v>
      </c>
      <c r="H18" s="3"/>
      <c r="I18" s="3">
        <v>500</v>
      </c>
      <c r="J18" s="3">
        <v>500</v>
      </c>
      <c r="K18" s="3"/>
      <c r="L18" s="3">
        <v>500</v>
      </c>
      <c r="M18" s="3">
        <v>500</v>
      </c>
      <c r="N18" s="3">
        <f t="shared" si="0"/>
        <v>5000</v>
      </c>
    </row>
    <row r="19" spans="1:14" ht="22.5" customHeight="1">
      <c r="A19" s="4" t="s">
        <v>31</v>
      </c>
      <c r="B19" s="3">
        <v>500</v>
      </c>
      <c r="C19" s="3">
        <v>500</v>
      </c>
      <c r="D19" s="3"/>
      <c r="E19" s="3">
        <v>1000</v>
      </c>
      <c r="F19" s="3"/>
      <c r="G19" s="3">
        <v>1000</v>
      </c>
      <c r="H19" s="3"/>
      <c r="I19" s="3"/>
      <c r="J19" s="3"/>
      <c r="K19" s="3"/>
      <c r="L19" s="3"/>
      <c r="M19" s="3"/>
      <c r="N19" s="3">
        <f t="shared" si="0"/>
        <v>3000</v>
      </c>
    </row>
    <row r="20" spans="1:14" ht="22.5" customHeight="1">
      <c r="A20" s="2" t="s">
        <v>33</v>
      </c>
      <c r="B20" s="3">
        <v>500</v>
      </c>
      <c r="C20" s="3">
        <v>500</v>
      </c>
      <c r="D20" s="3">
        <v>500</v>
      </c>
      <c r="E20" s="3">
        <v>500</v>
      </c>
      <c r="F20" s="3">
        <v>500</v>
      </c>
      <c r="G20" s="3">
        <v>500</v>
      </c>
      <c r="H20" s="3">
        <v>500</v>
      </c>
      <c r="I20" s="3">
        <v>500</v>
      </c>
      <c r="J20" s="3">
        <v>500</v>
      </c>
      <c r="K20" s="3"/>
      <c r="L20" s="3">
        <v>500</v>
      </c>
      <c r="M20" s="3">
        <v>500</v>
      </c>
      <c r="N20" s="3">
        <f t="shared" si="0"/>
        <v>5500</v>
      </c>
    </row>
    <row r="21" spans="1:14" ht="22.5" customHeight="1">
      <c r="A21" s="2" t="s">
        <v>67</v>
      </c>
      <c r="B21" s="3"/>
      <c r="C21" s="3"/>
      <c r="D21" s="3"/>
      <c r="E21" s="3"/>
      <c r="F21" s="3"/>
      <c r="G21" s="3"/>
      <c r="H21" s="3"/>
      <c r="I21" s="3"/>
      <c r="J21" s="3"/>
      <c r="K21" s="3"/>
      <c r="L21" s="3"/>
      <c r="M21" s="3"/>
      <c r="N21" s="3">
        <f t="shared" si="0"/>
        <v>0</v>
      </c>
    </row>
    <row r="22" spans="1:14" ht="22.5" customHeight="1">
      <c r="A22" s="2" t="s">
        <v>37</v>
      </c>
      <c r="B22" s="3"/>
      <c r="C22" s="3">
        <v>1000</v>
      </c>
      <c r="D22" s="3">
        <v>1000</v>
      </c>
      <c r="E22" s="3"/>
      <c r="F22" s="3"/>
      <c r="G22" s="3"/>
      <c r="H22" s="3"/>
      <c r="I22" s="3"/>
      <c r="J22" s="3">
        <v>3000</v>
      </c>
      <c r="K22" s="3"/>
      <c r="L22" s="3"/>
      <c r="M22" s="3"/>
      <c r="N22" s="3">
        <f t="shared" si="0"/>
        <v>5000</v>
      </c>
    </row>
    <row r="23" spans="1:14" ht="22.5" customHeight="1">
      <c r="A23" s="2" t="s">
        <v>39</v>
      </c>
      <c r="B23" s="3">
        <v>500</v>
      </c>
      <c r="C23" s="3">
        <v>500</v>
      </c>
      <c r="D23" s="3">
        <v>500</v>
      </c>
      <c r="E23" s="3"/>
      <c r="F23" s="3">
        <v>500</v>
      </c>
      <c r="G23" s="3">
        <v>500</v>
      </c>
      <c r="H23" s="3"/>
      <c r="I23" s="3">
        <v>500</v>
      </c>
      <c r="J23" s="3">
        <v>500</v>
      </c>
      <c r="K23" s="3"/>
      <c r="L23" s="3">
        <v>500</v>
      </c>
      <c r="M23" s="3"/>
      <c r="N23" s="3">
        <f t="shared" si="0"/>
        <v>4000</v>
      </c>
    </row>
    <row r="24" spans="1:14" ht="22.5" customHeight="1">
      <c r="A24" s="32" t="s">
        <v>132</v>
      </c>
      <c r="B24" s="3">
        <f t="shared" ref="B24:C24" si="1">600+600</f>
        <v>1200</v>
      </c>
      <c r="C24" s="3">
        <f t="shared" si="1"/>
        <v>1200</v>
      </c>
      <c r="D24" s="3">
        <f>600+1223</f>
        <v>1823</v>
      </c>
      <c r="E24" s="3">
        <f t="shared" ref="E24:F24" si="2">600</f>
        <v>600</v>
      </c>
      <c r="F24" s="3">
        <f t="shared" si="2"/>
        <v>600</v>
      </c>
      <c r="G24" s="3">
        <f>600+1500+1689</f>
        <v>3789</v>
      </c>
      <c r="H24" s="3">
        <f>600</f>
        <v>600</v>
      </c>
      <c r="I24" s="3">
        <v>600</v>
      </c>
      <c r="J24" s="3">
        <f>600+900</f>
        <v>1500</v>
      </c>
      <c r="K24" s="3"/>
      <c r="L24" s="3"/>
      <c r="M24" s="3"/>
      <c r="N24" s="3">
        <f t="shared" si="0"/>
        <v>11912</v>
      </c>
    </row>
    <row r="25" spans="1:14" ht="22.5" customHeight="1">
      <c r="A25" s="3" t="s">
        <v>55</v>
      </c>
      <c r="B25" s="3">
        <f t="shared" ref="B25:G25" si="3">SUM(B2:B24)</f>
        <v>7700</v>
      </c>
      <c r="C25" s="3">
        <f t="shared" si="3"/>
        <v>9700</v>
      </c>
      <c r="D25" s="3">
        <f t="shared" si="3"/>
        <v>14923</v>
      </c>
      <c r="E25" s="3">
        <f t="shared" si="3"/>
        <v>5100</v>
      </c>
      <c r="F25" s="3">
        <f t="shared" si="3"/>
        <v>5600</v>
      </c>
      <c r="G25" s="3">
        <f t="shared" si="3"/>
        <v>12789</v>
      </c>
      <c r="H25" s="3">
        <f>SUM(H1:H24)</f>
        <v>7100</v>
      </c>
      <c r="I25" s="3"/>
      <c r="J25" s="3"/>
      <c r="K25" s="3"/>
      <c r="L25" s="3"/>
      <c r="M25" s="3"/>
      <c r="N25" s="3">
        <f>SUM(N2:N24)</f>
        <v>87512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6640625" customWidth="1"/>
    <col min="2" max="5" width="8.1640625" customWidth="1"/>
    <col min="6" max="6" width="8.83203125" customWidth="1"/>
    <col min="7" max="7" width="8.6640625" customWidth="1"/>
    <col min="8" max="8" width="7.6640625" customWidth="1"/>
    <col min="9" max="9" width="7.1640625" customWidth="1"/>
    <col min="10" max="10" width="7.83203125" customWidth="1"/>
    <col min="11" max="11" width="8.33203125" customWidth="1"/>
    <col min="12" max="12" width="8.1640625" customWidth="1"/>
    <col min="13" max="13" width="8.33203125" customWidth="1"/>
    <col min="14" max="14" width="9.6640625" customWidth="1"/>
  </cols>
  <sheetData>
    <row r="1" spans="1:14" ht="22.5" customHeight="1">
      <c r="A1" s="1" t="s">
        <v>54</v>
      </c>
      <c r="B1" s="1" t="s">
        <v>115</v>
      </c>
      <c r="C1" s="1" t="s">
        <v>116</v>
      </c>
      <c r="D1" s="1" t="s">
        <v>117</v>
      </c>
      <c r="E1" s="1" t="s">
        <v>118</v>
      </c>
      <c r="F1" s="1" t="s">
        <v>119</v>
      </c>
      <c r="G1" s="1" t="s">
        <v>120</v>
      </c>
      <c r="H1" s="1" t="s">
        <v>121</v>
      </c>
      <c r="I1" s="1" t="s">
        <v>122</v>
      </c>
      <c r="J1" s="1" t="s">
        <v>123</v>
      </c>
      <c r="K1" s="1" t="s">
        <v>124</v>
      </c>
      <c r="L1" s="1" t="s">
        <v>125</v>
      </c>
      <c r="M1" s="1" t="s">
        <v>126</v>
      </c>
      <c r="N1" s="1" t="s">
        <v>55</v>
      </c>
    </row>
    <row r="2" spans="1:14" ht="22.5" customHeight="1">
      <c r="A2" s="2" t="s">
        <v>2</v>
      </c>
      <c r="B2" s="3">
        <v>500</v>
      </c>
      <c r="C2" s="3">
        <v>500</v>
      </c>
      <c r="D2" s="3">
        <v>500</v>
      </c>
      <c r="E2" s="3">
        <v>500</v>
      </c>
      <c r="F2" s="3"/>
      <c r="G2" s="3"/>
      <c r="H2" s="3"/>
      <c r="I2" s="3">
        <v>500</v>
      </c>
      <c r="J2" s="3">
        <v>500</v>
      </c>
      <c r="K2" s="3">
        <v>500</v>
      </c>
      <c r="L2" s="3">
        <v>500</v>
      </c>
      <c r="M2" s="3">
        <v>500</v>
      </c>
      <c r="N2" s="3">
        <f t="shared" ref="N2:N24" si="0">SUM(B2:M2)</f>
        <v>4500</v>
      </c>
    </row>
    <row r="3" spans="1:14" ht="22.5" customHeight="1">
      <c r="A3" s="2" t="s">
        <v>3</v>
      </c>
      <c r="B3" s="3">
        <v>500</v>
      </c>
      <c r="C3" s="3">
        <v>500</v>
      </c>
      <c r="D3" s="3">
        <v>500</v>
      </c>
      <c r="E3" s="3"/>
      <c r="F3" s="3">
        <v>1000</v>
      </c>
      <c r="G3" s="3"/>
      <c r="H3" s="3">
        <v>500</v>
      </c>
      <c r="I3" s="3"/>
      <c r="J3" s="3"/>
      <c r="K3" s="3">
        <v>1000</v>
      </c>
      <c r="L3" s="3"/>
      <c r="M3" s="3">
        <v>500</v>
      </c>
      <c r="N3" s="3">
        <f t="shared" si="0"/>
        <v>4500</v>
      </c>
    </row>
    <row r="4" spans="1:14" ht="22.5" customHeight="1">
      <c r="A4" s="4" t="s">
        <v>5</v>
      </c>
      <c r="B4" s="3">
        <v>500</v>
      </c>
      <c r="C4" s="3">
        <v>500</v>
      </c>
      <c r="D4" s="3">
        <v>500</v>
      </c>
      <c r="E4" s="3">
        <v>500</v>
      </c>
      <c r="F4" s="3">
        <v>500</v>
      </c>
      <c r="G4" s="3">
        <v>500</v>
      </c>
      <c r="H4" s="3">
        <v>500</v>
      </c>
      <c r="I4" s="3">
        <v>500</v>
      </c>
      <c r="J4" s="3">
        <v>500</v>
      </c>
      <c r="K4" s="3">
        <v>500</v>
      </c>
      <c r="L4" s="3">
        <v>500</v>
      </c>
      <c r="M4" s="3">
        <v>500</v>
      </c>
      <c r="N4" s="3">
        <f t="shared" si="0"/>
        <v>6000</v>
      </c>
    </row>
    <row r="5" spans="1:14" ht="22.5" customHeight="1">
      <c r="A5" s="2" t="s">
        <v>7</v>
      </c>
      <c r="B5" s="3"/>
      <c r="C5" s="3"/>
      <c r="D5" s="3"/>
      <c r="E5" s="3">
        <v>1000</v>
      </c>
      <c r="F5" s="3">
        <v>1000</v>
      </c>
      <c r="G5" s="3"/>
      <c r="H5" s="3">
        <v>1000</v>
      </c>
      <c r="I5" s="3">
        <v>1000</v>
      </c>
      <c r="J5" s="3"/>
      <c r="K5" s="3">
        <v>1000</v>
      </c>
      <c r="L5" s="3">
        <v>1000</v>
      </c>
      <c r="M5" s="3"/>
      <c r="N5" s="3">
        <f t="shared" si="0"/>
        <v>6000</v>
      </c>
    </row>
    <row r="6" spans="1:14" ht="22.5" customHeight="1">
      <c r="A6" s="4" t="s">
        <v>9</v>
      </c>
      <c r="B6" s="3"/>
      <c r="C6" s="3">
        <v>3000</v>
      </c>
      <c r="D6" s="3"/>
      <c r="E6" s="3"/>
      <c r="F6" s="3"/>
      <c r="G6" s="3"/>
      <c r="H6" s="3"/>
      <c r="I6" s="3"/>
      <c r="J6" s="3"/>
      <c r="K6" s="3">
        <v>2000</v>
      </c>
      <c r="L6" s="3"/>
      <c r="M6" s="3"/>
      <c r="N6" s="3">
        <f t="shared" si="0"/>
        <v>5000</v>
      </c>
    </row>
    <row r="7" spans="1:14" ht="22.5" customHeight="1">
      <c r="A7" s="5" t="s">
        <v>10</v>
      </c>
      <c r="B7" s="3"/>
      <c r="C7" s="3"/>
      <c r="D7" s="3"/>
      <c r="E7" s="3"/>
      <c r="F7" s="3"/>
      <c r="G7" s="3"/>
      <c r="H7" s="3"/>
      <c r="I7" s="3"/>
      <c r="J7" s="3"/>
      <c r="K7" s="3"/>
      <c r="L7" s="3"/>
      <c r="M7" s="3"/>
      <c r="N7" s="3">
        <f t="shared" si="0"/>
        <v>0</v>
      </c>
    </row>
    <row r="8" spans="1:14" ht="22.5" customHeight="1">
      <c r="A8" s="2" t="s">
        <v>12</v>
      </c>
      <c r="B8" s="3"/>
      <c r="C8" s="3">
        <v>1000</v>
      </c>
      <c r="D8" s="3"/>
      <c r="E8" s="3">
        <v>1000</v>
      </c>
      <c r="F8" s="3"/>
      <c r="G8" s="3">
        <v>800</v>
      </c>
      <c r="H8" s="3">
        <v>500</v>
      </c>
      <c r="I8" s="3">
        <v>500</v>
      </c>
      <c r="J8" s="3">
        <v>500</v>
      </c>
      <c r="K8" s="3">
        <v>500</v>
      </c>
      <c r="L8" s="3">
        <v>500</v>
      </c>
      <c r="M8" s="3">
        <v>500</v>
      </c>
      <c r="N8" s="3">
        <f t="shared" si="0"/>
        <v>5800</v>
      </c>
    </row>
    <row r="9" spans="1:14" ht="22.5" customHeight="1">
      <c r="A9" s="2" t="s">
        <v>14</v>
      </c>
      <c r="B9" s="3">
        <v>1000</v>
      </c>
      <c r="C9" s="3"/>
      <c r="D9" s="3">
        <v>1000</v>
      </c>
      <c r="E9" s="3"/>
      <c r="F9" s="3">
        <v>500</v>
      </c>
      <c r="G9" s="3"/>
      <c r="H9" s="3">
        <v>1000</v>
      </c>
      <c r="I9" s="3">
        <v>500</v>
      </c>
      <c r="J9" s="3"/>
      <c r="K9" s="3">
        <v>500</v>
      </c>
      <c r="L9" s="3"/>
      <c r="M9" s="3">
        <v>1500</v>
      </c>
      <c r="N9" s="3">
        <f t="shared" si="0"/>
        <v>6000</v>
      </c>
    </row>
    <row r="10" spans="1:14" ht="22.5" customHeight="1">
      <c r="A10" s="2" t="s">
        <v>16</v>
      </c>
      <c r="B10" s="3"/>
      <c r="C10" s="3"/>
      <c r="D10" s="3"/>
      <c r="E10" s="3"/>
      <c r="F10" s="3"/>
      <c r="G10" s="3"/>
      <c r="H10" s="3"/>
      <c r="I10" s="3"/>
      <c r="J10" s="3"/>
      <c r="K10" s="3"/>
      <c r="L10" s="3"/>
      <c r="M10" s="3"/>
      <c r="N10" s="3">
        <f t="shared" si="0"/>
        <v>0</v>
      </c>
    </row>
    <row r="11" spans="1:14" ht="22.5" customHeight="1">
      <c r="A11" s="4" t="s">
        <v>18</v>
      </c>
      <c r="B11" s="3">
        <v>500</v>
      </c>
      <c r="C11" s="3">
        <v>500</v>
      </c>
      <c r="D11" s="3">
        <v>500</v>
      </c>
      <c r="E11" s="3">
        <v>500</v>
      </c>
      <c r="F11" s="3">
        <v>500</v>
      </c>
      <c r="G11" s="3">
        <v>500</v>
      </c>
      <c r="H11" s="3">
        <v>500</v>
      </c>
      <c r="I11" s="3">
        <v>500</v>
      </c>
      <c r="J11" s="3">
        <v>500</v>
      </c>
      <c r="K11" s="3">
        <v>500</v>
      </c>
      <c r="L11" s="3">
        <v>500</v>
      </c>
      <c r="M11" s="3">
        <v>500</v>
      </c>
      <c r="N11" s="3">
        <f t="shared" si="0"/>
        <v>6000</v>
      </c>
    </row>
    <row r="12" spans="1:14" ht="22.5" customHeight="1">
      <c r="A12" s="4" t="s">
        <v>20</v>
      </c>
      <c r="B12" s="3"/>
      <c r="C12" s="3">
        <v>1000</v>
      </c>
      <c r="D12" s="3">
        <v>500</v>
      </c>
      <c r="E12" s="3">
        <v>500</v>
      </c>
      <c r="F12" s="3">
        <v>500</v>
      </c>
      <c r="G12" s="3">
        <v>500</v>
      </c>
      <c r="H12" s="3">
        <v>500</v>
      </c>
      <c r="I12" s="3">
        <v>500</v>
      </c>
      <c r="J12" s="3">
        <v>500</v>
      </c>
      <c r="K12" s="3">
        <v>500</v>
      </c>
      <c r="L12" s="3">
        <v>500</v>
      </c>
      <c r="M12" s="3">
        <v>500</v>
      </c>
      <c r="N12" s="3">
        <f t="shared" si="0"/>
        <v>6000</v>
      </c>
    </row>
    <row r="13" spans="1:14" ht="22.5" customHeight="1">
      <c r="A13" s="4" t="s">
        <v>22</v>
      </c>
      <c r="B13" s="3"/>
      <c r="C13" s="3">
        <v>1000</v>
      </c>
      <c r="D13" s="3"/>
      <c r="E13" s="3"/>
      <c r="F13" s="3"/>
      <c r="G13" s="3"/>
      <c r="H13" s="3"/>
      <c r="I13" s="3"/>
      <c r="J13" s="3"/>
      <c r="K13" s="3"/>
      <c r="L13" s="3"/>
      <c r="M13" s="3"/>
      <c r="N13" s="3">
        <f t="shared" si="0"/>
        <v>1000</v>
      </c>
    </row>
    <row r="14" spans="1:14" ht="22.5" customHeight="1">
      <c r="A14" s="4" t="s">
        <v>24</v>
      </c>
      <c r="B14" s="3">
        <v>500</v>
      </c>
      <c r="C14" s="3">
        <v>500</v>
      </c>
      <c r="D14" s="3">
        <v>500</v>
      </c>
      <c r="E14" s="3">
        <v>500</v>
      </c>
      <c r="F14" s="3">
        <v>500</v>
      </c>
      <c r="G14" s="3">
        <v>500</v>
      </c>
      <c r="H14" s="3">
        <v>500</v>
      </c>
      <c r="I14" s="3">
        <v>500</v>
      </c>
      <c r="J14" s="3">
        <v>500</v>
      </c>
      <c r="K14" s="3">
        <v>500</v>
      </c>
      <c r="L14" s="3">
        <v>500</v>
      </c>
      <c r="M14" s="3">
        <v>500</v>
      </c>
      <c r="N14" s="3">
        <f t="shared" si="0"/>
        <v>6000</v>
      </c>
    </row>
    <row r="15" spans="1:14" ht="22.5" customHeight="1">
      <c r="A15" s="4" t="s">
        <v>25</v>
      </c>
      <c r="B15" s="3"/>
      <c r="C15" s="3"/>
      <c r="D15" s="3"/>
      <c r="E15" s="3"/>
      <c r="F15" s="3"/>
      <c r="G15" s="3"/>
      <c r="H15" s="3"/>
      <c r="I15" s="3"/>
      <c r="J15" s="3"/>
      <c r="K15" s="3"/>
      <c r="L15" s="3"/>
      <c r="M15" s="3"/>
      <c r="N15" s="3">
        <f t="shared" si="0"/>
        <v>0</v>
      </c>
    </row>
    <row r="16" spans="1:14" ht="22.5" customHeight="1">
      <c r="A16" s="2" t="s">
        <v>26</v>
      </c>
      <c r="B16" s="3"/>
      <c r="C16" s="3">
        <v>1000</v>
      </c>
      <c r="D16" s="3">
        <v>500</v>
      </c>
      <c r="E16" s="3">
        <v>500</v>
      </c>
      <c r="F16" s="3">
        <v>500</v>
      </c>
      <c r="G16" s="3">
        <v>500</v>
      </c>
      <c r="H16" s="3">
        <v>500</v>
      </c>
      <c r="I16" s="3">
        <v>500</v>
      </c>
      <c r="J16" s="3"/>
      <c r="K16" s="3">
        <v>1000</v>
      </c>
      <c r="L16" s="3">
        <v>500</v>
      </c>
      <c r="M16" s="3">
        <v>500</v>
      </c>
      <c r="N16" s="3">
        <f t="shared" si="0"/>
        <v>6000</v>
      </c>
    </row>
    <row r="17" spans="1:15" ht="22.5" customHeight="1">
      <c r="A17" s="2" t="s">
        <v>28</v>
      </c>
      <c r="B17" s="3"/>
      <c r="C17" s="3"/>
      <c r="D17" s="3"/>
      <c r="E17" s="3">
        <v>4400</v>
      </c>
      <c r="F17" s="3"/>
      <c r="G17" s="3"/>
      <c r="H17" s="3"/>
      <c r="I17" s="3"/>
      <c r="J17" s="3"/>
      <c r="K17" s="3"/>
      <c r="L17" s="3"/>
      <c r="M17" s="3"/>
      <c r="N17" s="3">
        <f t="shared" si="0"/>
        <v>4400</v>
      </c>
    </row>
    <row r="18" spans="1:15" ht="22.5" customHeight="1">
      <c r="A18" s="2" t="s">
        <v>29</v>
      </c>
      <c r="B18" s="3">
        <v>500</v>
      </c>
      <c r="C18" s="3">
        <v>500</v>
      </c>
      <c r="D18" s="3">
        <v>500</v>
      </c>
      <c r="E18" s="3">
        <v>500</v>
      </c>
      <c r="F18" s="3">
        <v>500</v>
      </c>
      <c r="G18" s="3">
        <v>500</v>
      </c>
      <c r="H18" s="3">
        <v>500</v>
      </c>
      <c r="I18" s="3">
        <v>500</v>
      </c>
      <c r="J18" s="3">
        <v>500</v>
      </c>
      <c r="K18" s="3">
        <v>500</v>
      </c>
      <c r="L18" s="3">
        <v>500</v>
      </c>
      <c r="M18" s="3">
        <v>500</v>
      </c>
      <c r="N18" s="3">
        <f t="shared" si="0"/>
        <v>6000</v>
      </c>
    </row>
    <row r="19" spans="1:15" ht="22.5" customHeight="1">
      <c r="A19" s="4" t="s">
        <v>31</v>
      </c>
      <c r="B19" s="3">
        <v>1000</v>
      </c>
      <c r="C19" s="3"/>
      <c r="D19" s="3"/>
      <c r="E19" s="3">
        <v>1000</v>
      </c>
      <c r="F19" s="3">
        <v>500</v>
      </c>
      <c r="G19" s="3">
        <v>500</v>
      </c>
      <c r="H19" s="3"/>
      <c r="I19" s="3"/>
      <c r="J19" s="3">
        <v>1000</v>
      </c>
      <c r="K19" s="3">
        <v>1000</v>
      </c>
      <c r="L19" s="3"/>
      <c r="M19" s="3">
        <v>1000</v>
      </c>
      <c r="N19" s="3">
        <f t="shared" si="0"/>
        <v>6000</v>
      </c>
    </row>
    <row r="20" spans="1:15" ht="22.5" customHeight="1">
      <c r="A20" s="2" t="s">
        <v>33</v>
      </c>
      <c r="B20" s="3">
        <v>1000</v>
      </c>
      <c r="C20" s="3">
        <v>1000</v>
      </c>
      <c r="D20" s="3">
        <v>1000</v>
      </c>
      <c r="E20" s="3">
        <v>1000</v>
      </c>
      <c r="F20" s="3">
        <v>500</v>
      </c>
      <c r="G20" s="3">
        <v>500</v>
      </c>
      <c r="H20" s="3">
        <v>500</v>
      </c>
      <c r="I20" s="3">
        <v>500</v>
      </c>
      <c r="J20" s="3">
        <v>500</v>
      </c>
      <c r="K20" s="3">
        <v>500</v>
      </c>
      <c r="L20" s="3">
        <v>500</v>
      </c>
      <c r="M20" s="3">
        <v>500</v>
      </c>
      <c r="N20" s="3">
        <f t="shared" si="0"/>
        <v>8000</v>
      </c>
    </row>
    <row r="21" spans="1:15" ht="22.5" customHeight="1">
      <c r="A21" s="2" t="s">
        <v>67</v>
      </c>
      <c r="B21" s="3"/>
      <c r="C21" s="3"/>
      <c r="D21" s="3"/>
      <c r="E21" s="3">
        <v>500</v>
      </c>
      <c r="F21" s="3">
        <v>500</v>
      </c>
      <c r="G21" s="3"/>
      <c r="H21" s="3">
        <v>1000</v>
      </c>
      <c r="I21" s="3"/>
      <c r="J21" s="3"/>
      <c r="K21" s="3"/>
      <c r="L21" s="3"/>
      <c r="M21" s="3"/>
      <c r="N21" s="3">
        <f t="shared" si="0"/>
        <v>2000</v>
      </c>
    </row>
    <row r="22" spans="1:15" ht="22.5" customHeight="1">
      <c r="A22" s="2" t="s">
        <v>37</v>
      </c>
      <c r="B22" s="3">
        <v>500</v>
      </c>
      <c r="C22" s="3">
        <v>500</v>
      </c>
      <c r="D22" s="3">
        <v>500</v>
      </c>
      <c r="E22" s="3">
        <v>500</v>
      </c>
      <c r="F22" s="3">
        <v>500</v>
      </c>
      <c r="G22" s="3">
        <v>500</v>
      </c>
      <c r="H22" s="3"/>
      <c r="I22" s="3"/>
      <c r="J22" s="3"/>
      <c r="K22" s="3">
        <v>2500</v>
      </c>
      <c r="L22" s="3"/>
      <c r="M22" s="3"/>
      <c r="N22" s="3">
        <f t="shared" si="0"/>
        <v>5500</v>
      </c>
    </row>
    <row r="23" spans="1:15" ht="22.5" customHeight="1">
      <c r="A23" s="2" t="s">
        <v>39</v>
      </c>
      <c r="B23" s="3">
        <v>1000</v>
      </c>
      <c r="C23" s="3"/>
      <c r="D23" s="3"/>
      <c r="E23" s="3">
        <v>1000</v>
      </c>
      <c r="F23" s="3"/>
      <c r="G23" s="3"/>
      <c r="H23" s="3">
        <v>1000</v>
      </c>
      <c r="I23" s="3">
        <v>1000</v>
      </c>
      <c r="J23" s="3"/>
      <c r="K23" s="3">
        <v>500</v>
      </c>
      <c r="L23" s="3"/>
      <c r="M23" s="3">
        <v>500</v>
      </c>
      <c r="N23" s="3">
        <f t="shared" si="0"/>
        <v>5000</v>
      </c>
    </row>
    <row r="24" spans="1:15" ht="22.5" customHeight="1">
      <c r="A24" s="32" t="s">
        <v>132</v>
      </c>
      <c r="B24" s="3">
        <v>666</v>
      </c>
      <c r="C24" s="3">
        <f>600+2400</f>
        <v>3000</v>
      </c>
      <c r="D24" s="3">
        <f>600+600+1238</f>
        <v>2438</v>
      </c>
      <c r="E24" s="3">
        <f>600+600</f>
        <v>1200</v>
      </c>
      <c r="F24" s="3">
        <f>600</f>
        <v>600</v>
      </c>
      <c r="G24" s="3">
        <f>600+1200+1355</f>
        <v>3155</v>
      </c>
      <c r="H24" s="3">
        <f t="shared" ref="H24:I24" si="1">600+600</f>
        <v>1200</v>
      </c>
      <c r="I24" s="3">
        <f t="shared" si="1"/>
        <v>1200</v>
      </c>
      <c r="J24" s="3">
        <f>600+600+1463</f>
        <v>2663</v>
      </c>
      <c r="K24" s="3">
        <f t="shared" ref="K24:L24" si="2">600+600</f>
        <v>1200</v>
      </c>
      <c r="L24" s="3">
        <f t="shared" si="2"/>
        <v>1200</v>
      </c>
      <c r="M24" s="3">
        <f>600+600+1409</f>
        <v>2609</v>
      </c>
      <c r="N24" s="3">
        <f t="shared" si="0"/>
        <v>21131</v>
      </c>
    </row>
    <row r="25" spans="1:15" ht="22.5" customHeight="1">
      <c r="A25" s="3" t="s">
        <v>55</v>
      </c>
      <c r="B25" s="3">
        <f t="shared" ref="B25:N25" si="3">SUM(B2:B24)</f>
        <v>8166</v>
      </c>
      <c r="C25" s="3">
        <f t="shared" si="3"/>
        <v>14500</v>
      </c>
      <c r="D25" s="3">
        <f t="shared" si="3"/>
        <v>8938</v>
      </c>
      <c r="E25" s="3">
        <f t="shared" si="3"/>
        <v>15100</v>
      </c>
      <c r="F25" s="3">
        <f t="shared" si="3"/>
        <v>8100</v>
      </c>
      <c r="G25" s="3">
        <f t="shared" si="3"/>
        <v>8455</v>
      </c>
      <c r="H25" s="3">
        <f t="shared" si="3"/>
        <v>9700</v>
      </c>
      <c r="I25" s="3">
        <f t="shared" si="3"/>
        <v>8200</v>
      </c>
      <c r="J25" s="3">
        <f t="shared" si="3"/>
        <v>7663</v>
      </c>
      <c r="K25" s="3">
        <f t="shared" si="3"/>
        <v>14700</v>
      </c>
      <c r="L25" s="3">
        <f t="shared" si="3"/>
        <v>6700</v>
      </c>
      <c r="M25" s="3">
        <f t="shared" si="3"/>
        <v>10609</v>
      </c>
      <c r="N25" s="3">
        <f t="shared" si="3"/>
        <v>120831</v>
      </c>
      <c r="O25" s="20">
        <f>90522-17322</f>
        <v>73200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V3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5.6640625" customWidth="1"/>
    <col min="2" max="2" width="6" customWidth="1"/>
    <col min="3" max="3" width="5" customWidth="1"/>
    <col min="4" max="4" width="8.33203125" customWidth="1"/>
    <col min="5" max="5" width="8.1640625" customWidth="1"/>
    <col min="6" max="6" width="8.6640625" customWidth="1"/>
    <col min="7" max="7" width="6" customWidth="1"/>
    <col min="8" max="8" width="8.5" customWidth="1"/>
    <col min="9" max="9" width="8.1640625" customWidth="1"/>
    <col min="10" max="10" width="7.1640625" customWidth="1"/>
    <col min="11" max="11" width="8.83203125" customWidth="1"/>
    <col min="12" max="13" width="8.33203125" customWidth="1"/>
    <col min="21" max="21" width="22.33203125" customWidth="1"/>
    <col min="22" max="22" width="6.6640625" customWidth="1"/>
  </cols>
  <sheetData>
    <row r="1" spans="1:22" ht="22.5" customHeight="1">
      <c r="A1" s="1" t="s">
        <v>54</v>
      </c>
      <c r="B1" s="1" t="s">
        <v>115</v>
      </c>
      <c r="C1" s="1" t="s">
        <v>116</v>
      </c>
      <c r="D1" s="1" t="s">
        <v>117</v>
      </c>
      <c r="E1" s="1" t="s">
        <v>118</v>
      </c>
      <c r="F1" s="1" t="s">
        <v>119</v>
      </c>
      <c r="G1" s="1" t="s">
        <v>120</v>
      </c>
      <c r="H1" s="1" t="s">
        <v>121</v>
      </c>
      <c r="I1" s="1" t="s">
        <v>122</v>
      </c>
      <c r="J1" s="1" t="s">
        <v>123</v>
      </c>
      <c r="K1" s="1" t="s">
        <v>124</v>
      </c>
      <c r="L1" s="1" t="s">
        <v>125</v>
      </c>
      <c r="M1" s="1" t="s">
        <v>126</v>
      </c>
      <c r="N1" s="1" t="s">
        <v>55</v>
      </c>
      <c r="O1" s="35"/>
      <c r="P1" s="65"/>
      <c r="Q1" s="60"/>
      <c r="R1" s="65"/>
      <c r="S1" s="60"/>
      <c r="U1" s="66"/>
      <c r="V1" s="60"/>
    </row>
    <row r="2" spans="1:22" ht="22.5" customHeight="1">
      <c r="A2" s="2" t="s">
        <v>2</v>
      </c>
      <c r="B2" s="3">
        <v>500</v>
      </c>
      <c r="C2" s="3">
        <v>500</v>
      </c>
      <c r="D2" s="3">
        <v>500</v>
      </c>
      <c r="E2" s="3"/>
      <c r="F2" s="3">
        <v>2000</v>
      </c>
      <c r="G2" s="3"/>
      <c r="H2" s="3"/>
      <c r="I2" s="3"/>
      <c r="J2" s="3"/>
      <c r="K2" s="3">
        <v>500</v>
      </c>
      <c r="L2" s="3">
        <v>500</v>
      </c>
      <c r="M2" s="3">
        <v>1000</v>
      </c>
      <c r="N2" s="3">
        <f t="shared" ref="N2:N24" si="0">SUM(B2:M2)</f>
        <v>5500</v>
      </c>
      <c r="O2" s="35"/>
      <c r="P2" s="35"/>
      <c r="Q2" s="35"/>
      <c r="R2" s="35"/>
      <c r="S2" s="35"/>
      <c r="U2" s="35"/>
      <c r="V2" s="35"/>
    </row>
    <row r="3" spans="1:22" ht="22.5" customHeight="1">
      <c r="A3" s="2" t="s">
        <v>3</v>
      </c>
      <c r="B3" s="3"/>
      <c r="C3" s="3"/>
      <c r="D3" s="3"/>
      <c r="E3" s="3">
        <v>500</v>
      </c>
      <c r="F3" s="3">
        <v>500</v>
      </c>
      <c r="G3" s="3"/>
      <c r="H3" s="3"/>
      <c r="I3" s="3">
        <v>1000</v>
      </c>
      <c r="J3" s="3"/>
      <c r="K3" s="3">
        <v>500</v>
      </c>
      <c r="L3" s="3">
        <v>1000</v>
      </c>
      <c r="M3" s="3">
        <v>500</v>
      </c>
      <c r="N3" s="3">
        <f t="shared" si="0"/>
        <v>4000</v>
      </c>
      <c r="O3" s="35"/>
      <c r="P3" s="36"/>
      <c r="Q3" s="36"/>
      <c r="R3" s="36"/>
      <c r="S3" s="36"/>
      <c r="U3" s="35"/>
      <c r="V3" s="35"/>
    </row>
    <row r="4" spans="1:22" ht="22.5" customHeight="1">
      <c r="A4" s="5" t="s">
        <v>5</v>
      </c>
      <c r="B4" s="3">
        <v>500</v>
      </c>
      <c r="C4" s="3">
        <v>500</v>
      </c>
      <c r="D4" s="3">
        <v>500</v>
      </c>
      <c r="E4" s="3">
        <v>500</v>
      </c>
      <c r="F4" s="3">
        <v>500</v>
      </c>
      <c r="G4" s="3">
        <v>500</v>
      </c>
      <c r="H4" s="3">
        <v>500</v>
      </c>
      <c r="I4" s="3">
        <v>500</v>
      </c>
      <c r="J4" s="3">
        <v>500</v>
      </c>
      <c r="K4" s="3">
        <v>500</v>
      </c>
      <c r="L4" s="3">
        <v>500</v>
      </c>
      <c r="M4" s="3">
        <v>500</v>
      </c>
      <c r="N4" s="3">
        <f t="shared" si="0"/>
        <v>6000</v>
      </c>
      <c r="O4" s="35"/>
      <c r="P4" s="36"/>
      <c r="Q4" s="36"/>
      <c r="R4" s="37"/>
      <c r="S4" s="36"/>
      <c r="U4" s="35"/>
      <c r="V4" s="35"/>
    </row>
    <row r="5" spans="1:22" ht="22.5" customHeight="1">
      <c r="A5" s="2" t="s">
        <v>7</v>
      </c>
      <c r="B5" s="3"/>
      <c r="C5" s="3"/>
      <c r="D5" s="3">
        <v>500</v>
      </c>
      <c r="E5" s="3"/>
      <c r="F5" s="3">
        <v>500</v>
      </c>
      <c r="G5" s="3">
        <v>500</v>
      </c>
      <c r="H5" s="3">
        <v>1000</v>
      </c>
      <c r="I5" s="3"/>
      <c r="J5" s="3"/>
      <c r="K5" s="3">
        <v>500</v>
      </c>
      <c r="L5" s="3"/>
      <c r="M5" s="3"/>
      <c r="N5" s="3">
        <f t="shared" si="0"/>
        <v>3000</v>
      </c>
      <c r="O5" s="35"/>
      <c r="P5" s="36"/>
      <c r="Q5" s="36"/>
      <c r="R5" s="37"/>
      <c r="S5" s="36"/>
    </row>
    <row r="6" spans="1:22" ht="22.5" customHeight="1">
      <c r="A6" s="5" t="s">
        <v>9</v>
      </c>
      <c r="B6" s="3"/>
      <c r="C6" s="3"/>
      <c r="D6" s="3">
        <v>500</v>
      </c>
      <c r="E6" s="3">
        <v>500</v>
      </c>
      <c r="F6" s="3">
        <v>1000</v>
      </c>
      <c r="G6" s="3"/>
      <c r="H6" s="3">
        <v>2000</v>
      </c>
      <c r="I6" s="3"/>
      <c r="J6" s="3"/>
      <c r="K6" s="3"/>
      <c r="L6" s="3"/>
      <c r="M6" s="3"/>
      <c r="N6" s="3">
        <f t="shared" si="0"/>
        <v>4000</v>
      </c>
      <c r="O6" s="35"/>
      <c r="P6" s="36"/>
      <c r="Q6" s="36"/>
      <c r="R6" s="37"/>
      <c r="S6" s="36"/>
      <c r="U6" s="35"/>
      <c r="V6" s="35"/>
    </row>
    <row r="7" spans="1:22" ht="22.5" customHeight="1">
      <c r="A7" s="5" t="s">
        <v>10</v>
      </c>
      <c r="B7" s="3"/>
      <c r="C7" s="3"/>
      <c r="D7" s="3"/>
      <c r="E7" s="3"/>
      <c r="F7" s="3"/>
      <c r="G7" s="3"/>
      <c r="H7" s="3">
        <v>6000</v>
      </c>
      <c r="I7" s="3"/>
      <c r="J7" s="3"/>
      <c r="K7" s="3"/>
      <c r="L7" s="3"/>
      <c r="M7" s="3"/>
      <c r="N7" s="3">
        <f t="shared" si="0"/>
        <v>6000</v>
      </c>
      <c r="O7" s="35"/>
      <c r="P7" s="36"/>
      <c r="Q7" s="36"/>
      <c r="R7" s="35"/>
      <c r="S7" s="36"/>
      <c r="U7" s="35"/>
      <c r="V7" s="35"/>
    </row>
    <row r="8" spans="1:22" ht="22.5" customHeight="1">
      <c r="A8" s="2" t="s">
        <v>12</v>
      </c>
      <c r="B8" s="3">
        <v>1000</v>
      </c>
      <c r="C8" s="3"/>
      <c r="D8" s="3">
        <v>1000</v>
      </c>
      <c r="E8" s="3">
        <v>1000</v>
      </c>
      <c r="F8" s="3">
        <v>500</v>
      </c>
      <c r="G8" s="3"/>
      <c r="H8" s="3">
        <v>1400</v>
      </c>
      <c r="I8" s="3"/>
      <c r="J8" s="3"/>
      <c r="K8" s="3"/>
      <c r="L8" s="3">
        <v>1000</v>
      </c>
      <c r="M8" s="3">
        <v>1000</v>
      </c>
      <c r="N8" s="3">
        <f t="shared" si="0"/>
        <v>6900</v>
      </c>
      <c r="O8" s="35"/>
      <c r="P8" s="36"/>
      <c r="Q8" s="36"/>
      <c r="R8" s="35"/>
      <c r="S8" s="36"/>
      <c r="U8" s="35"/>
      <c r="V8" s="35"/>
    </row>
    <row r="9" spans="1:22" ht="22.5" customHeight="1">
      <c r="A9" s="2" t="s">
        <v>14</v>
      </c>
      <c r="B9" s="3">
        <v>500</v>
      </c>
      <c r="C9" s="3">
        <v>500</v>
      </c>
      <c r="D9" s="3">
        <v>500</v>
      </c>
      <c r="E9" s="3">
        <v>500</v>
      </c>
      <c r="F9" s="3">
        <v>500</v>
      </c>
      <c r="G9" s="3"/>
      <c r="H9" s="3"/>
      <c r="I9" s="3">
        <v>1000</v>
      </c>
      <c r="J9" s="3">
        <v>500</v>
      </c>
      <c r="K9" s="3">
        <v>500</v>
      </c>
      <c r="L9" s="3">
        <v>500</v>
      </c>
      <c r="M9" s="3"/>
      <c r="N9" s="3">
        <f t="shared" si="0"/>
        <v>5000</v>
      </c>
      <c r="O9" s="35"/>
      <c r="P9" s="35"/>
      <c r="Q9" s="35"/>
      <c r="R9" s="35"/>
      <c r="S9" s="35"/>
      <c r="U9" s="38"/>
    </row>
    <row r="10" spans="1:22" ht="22.5" customHeight="1">
      <c r="A10" s="2" t="s">
        <v>16</v>
      </c>
      <c r="B10" s="3"/>
      <c r="C10" s="3"/>
      <c r="D10" s="3"/>
      <c r="E10" s="3"/>
      <c r="F10" s="3"/>
      <c r="G10" s="3"/>
      <c r="H10" s="3"/>
      <c r="I10" s="3"/>
      <c r="J10" s="3"/>
      <c r="K10" s="3"/>
      <c r="L10" s="3"/>
      <c r="M10" s="3"/>
      <c r="N10" s="3">
        <f t="shared" si="0"/>
        <v>0</v>
      </c>
      <c r="O10" s="35"/>
      <c r="P10" s="67"/>
      <c r="Q10" s="60"/>
      <c r="R10" s="60"/>
      <c r="S10" s="35"/>
    </row>
    <row r="11" spans="1:22" ht="22.5" customHeight="1">
      <c r="A11" s="5" t="s">
        <v>18</v>
      </c>
      <c r="B11" s="3">
        <v>500</v>
      </c>
      <c r="C11" s="3">
        <v>500</v>
      </c>
      <c r="D11" s="3">
        <v>500</v>
      </c>
      <c r="E11" s="3">
        <v>500</v>
      </c>
      <c r="F11" s="3">
        <v>500</v>
      </c>
      <c r="G11" s="3">
        <v>500</v>
      </c>
      <c r="H11" s="3">
        <v>500</v>
      </c>
      <c r="I11" s="3">
        <v>500</v>
      </c>
      <c r="J11" s="3">
        <v>500</v>
      </c>
      <c r="K11" s="3">
        <v>500</v>
      </c>
      <c r="L11" s="3">
        <v>500</v>
      </c>
      <c r="M11" s="3">
        <v>500</v>
      </c>
      <c r="N11" s="3">
        <f t="shared" si="0"/>
        <v>6000</v>
      </c>
      <c r="O11" s="35"/>
      <c r="P11" s="35"/>
      <c r="Q11" s="35"/>
      <c r="R11" s="35"/>
      <c r="S11" s="35"/>
    </row>
    <row r="12" spans="1:22" ht="22.5" customHeight="1">
      <c r="A12" s="5" t="s">
        <v>20</v>
      </c>
      <c r="B12" s="3"/>
      <c r="C12" s="3"/>
      <c r="D12" s="3">
        <v>10000</v>
      </c>
      <c r="E12" s="3"/>
      <c r="F12" s="3"/>
      <c r="G12" s="3"/>
      <c r="H12" s="3"/>
      <c r="I12" s="3"/>
      <c r="J12" s="3"/>
      <c r="K12" s="3"/>
      <c r="L12" s="3"/>
      <c r="M12" s="3">
        <v>2000</v>
      </c>
      <c r="N12" s="3">
        <f t="shared" si="0"/>
        <v>12000</v>
      </c>
      <c r="O12" s="35"/>
      <c r="P12" s="35"/>
      <c r="Q12" s="35"/>
      <c r="R12" s="35"/>
      <c r="S12" s="35"/>
    </row>
    <row r="13" spans="1:22" ht="22.5" customHeight="1">
      <c r="A13" s="5" t="s">
        <v>22</v>
      </c>
      <c r="B13" s="3">
        <v>1000</v>
      </c>
      <c r="C13" s="3"/>
      <c r="D13" s="3"/>
      <c r="E13" s="3"/>
      <c r="F13" s="3"/>
      <c r="G13" s="3"/>
      <c r="H13" s="3"/>
      <c r="I13" s="3"/>
      <c r="J13" s="3"/>
      <c r="K13" s="3">
        <v>1000</v>
      </c>
      <c r="L13" s="3"/>
      <c r="M13" s="3"/>
      <c r="N13" s="3">
        <f t="shared" si="0"/>
        <v>2000</v>
      </c>
      <c r="O13" s="35"/>
      <c r="P13" s="35"/>
      <c r="Q13" s="35"/>
      <c r="R13" s="35"/>
      <c r="S13" s="35"/>
    </row>
    <row r="14" spans="1:22" ht="22.5" customHeight="1">
      <c r="A14" s="5" t="s">
        <v>24</v>
      </c>
      <c r="B14" s="3">
        <v>500</v>
      </c>
      <c r="C14" s="3">
        <v>500</v>
      </c>
      <c r="D14" s="3">
        <v>500</v>
      </c>
      <c r="E14" s="3">
        <v>500</v>
      </c>
      <c r="F14" s="3">
        <v>500</v>
      </c>
      <c r="G14" s="3">
        <v>500</v>
      </c>
      <c r="H14" s="3">
        <v>500</v>
      </c>
      <c r="I14" s="3">
        <v>500</v>
      </c>
      <c r="J14" s="3">
        <v>500</v>
      </c>
      <c r="K14" s="3">
        <v>500</v>
      </c>
      <c r="L14" s="3">
        <v>500</v>
      </c>
      <c r="M14" s="3">
        <v>500</v>
      </c>
      <c r="N14" s="3">
        <f t="shared" si="0"/>
        <v>6000</v>
      </c>
      <c r="O14" s="35"/>
      <c r="P14" s="35"/>
      <c r="Q14" s="35"/>
      <c r="R14" s="35"/>
      <c r="S14" s="35"/>
    </row>
    <row r="15" spans="1:22" ht="22.5" customHeight="1">
      <c r="A15" s="5" t="s">
        <v>25</v>
      </c>
      <c r="B15" s="3"/>
      <c r="C15" s="3"/>
      <c r="D15" s="3"/>
      <c r="E15" s="3"/>
      <c r="F15" s="3"/>
      <c r="G15" s="3"/>
      <c r="H15" s="3"/>
      <c r="I15" s="3"/>
      <c r="J15" s="3"/>
      <c r="K15" s="3"/>
      <c r="L15" s="3"/>
      <c r="M15" s="3"/>
      <c r="N15" s="3">
        <f t="shared" si="0"/>
        <v>0</v>
      </c>
      <c r="O15" s="35"/>
      <c r="P15" s="35"/>
      <c r="Q15" s="35"/>
      <c r="R15" s="35"/>
      <c r="S15" s="35"/>
    </row>
    <row r="16" spans="1:22" ht="22.5" customHeight="1">
      <c r="A16" s="2" t="s">
        <v>26</v>
      </c>
      <c r="B16" s="3"/>
      <c r="C16" s="3"/>
      <c r="D16" s="3"/>
      <c r="E16" s="3"/>
      <c r="F16" s="3">
        <v>1000</v>
      </c>
      <c r="G16" s="3"/>
      <c r="H16" s="3">
        <v>1000</v>
      </c>
      <c r="I16" s="3">
        <v>500</v>
      </c>
      <c r="J16" s="3">
        <v>500</v>
      </c>
      <c r="K16" s="3">
        <v>500</v>
      </c>
      <c r="L16" s="3">
        <v>500</v>
      </c>
      <c r="M16" s="3">
        <v>500</v>
      </c>
      <c r="N16" s="3">
        <f t="shared" si="0"/>
        <v>4500</v>
      </c>
      <c r="O16" s="35"/>
      <c r="P16" s="35" t="s">
        <v>136</v>
      </c>
      <c r="Q16" s="35"/>
      <c r="R16" s="35"/>
      <c r="S16" s="35"/>
    </row>
    <row r="17" spans="1:19" ht="22.5" customHeight="1">
      <c r="A17" s="2" t="s">
        <v>28</v>
      </c>
      <c r="B17" s="3"/>
      <c r="C17" s="3"/>
      <c r="D17" s="3">
        <v>4000</v>
      </c>
      <c r="E17" s="3"/>
      <c r="F17" s="3"/>
      <c r="G17" s="3"/>
      <c r="H17" s="3">
        <v>1000</v>
      </c>
      <c r="I17" s="3"/>
      <c r="J17" s="3"/>
      <c r="K17" s="3">
        <v>2000</v>
      </c>
      <c r="L17" s="3"/>
      <c r="M17" s="3"/>
      <c r="N17" s="3">
        <f t="shared" si="0"/>
        <v>7000</v>
      </c>
      <c r="O17" s="35"/>
      <c r="P17" s="65"/>
      <c r="Q17" s="60"/>
      <c r="R17" s="60"/>
      <c r="S17" s="35"/>
    </row>
    <row r="18" spans="1:19" ht="22.5" customHeight="1">
      <c r="A18" s="2" t="s">
        <v>29</v>
      </c>
      <c r="B18" s="3"/>
      <c r="C18" s="3"/>
      <c r="D18" s="3">
        <v>500</v>
      </c>
      <c r="E18" s="3">
        <v>500</v>
      </c>
      <c r="F18" s="3">
        <v>500</v>
      </c>
      <c r="G18" s="3">
        <v>500</v>
      </c>
      <c r="H18" s="3">
        <v>500</v>
      </c>
      <c r="I18" s="3">
        <v>500</v>
      </c>
      <c r="J18" s="3">
        <v>500</v>
      </c>
      <c r="K18" s="3">
        <v>500</v>
      </c>
      <c r="L18" s="3">
        <v>500</v>
      </c>
      <c r="M18" s="3">
        <v>500</v>
      </c>
      <c r="N18" s="3">
        <f t="shared" si="0"/>
        <v>5000</v>
      </c>
      <c r="O18" s="35"/>
      <c r="P18" s="35"/>
      <c r="Q18" s="35"/>
      <c r="R18" s="35"/>
      <c r="S18" s="35"/>
    </row>
    <row r="19" spans="1:19" ht="22.5" customHeight="1">
      <c r="A19" s="5" t="s">
        <v>31</v>
      </c>
      <c r="B19" s="3"/>
      <c r="C19" s="3"/>
      <c r="D19" s="3"/>
      <c r="E19" s="3"/>
      <c r="F19" s="3">
        <v>5000</v>
      </c>
      <c r="G19" s="3"/>
      <c r="H19" s="3">
        <v>1000</v>
      </c>
      <c r="I19" s="3"/>
      <c r="J19" s="3">
        <v>1000</v>
      </c>
      <c r="K19" s="3"/>
      <c r="L19" s="3"/>
      <c r="M19" s="3">
        <v>1000</v>
      </c>
      <c r="N19" s="3">
        <f t="shared" si="0"/>
        <v>8000</v>
      </c>
      <c r="O19" s="35"/>
      <c r="P19" s="35"/>
      <c r="Q19" s="35"/>
      <c r="R19" s="35"/>
      <c r="S19" s="35"/>
    </row>
    <row r="20" spans="1:19" ht="22.5" customHeight="1">
      <c r="A20" s="2" t="s">
        <v>33</v>
      </c>
      <c r="B20" s="3"/>
      <c r="C20" s="3"/>
      <c r="D20" s="3">
        <v>1000</v>
      </c>
      <c r="E20" s="3">
        <v>1000</v>
      </c>
      <c r="F20" s="3">
        <v>1000</v>
      </c>
      <c r="G20" s="3">
        <v>1000</v>
      </c>
      <c r="H20" s="3">
        <v>1000</v>
      </c>
      <c r="I20" s="3">
        <v>1000</v>
      </c>
      <c r="J20" s="3">
        <v>1000</v>
      </c>
      <c r="K20" s="3">
        <v>1000</v>
      </c>
      <c r="L20" s="3">
        <v>1000</v>
      </c>
      <c r="M20" s="3">
        <v>1000</v>
      </c>
      <c r="N20" s="3">
        <f t="shared" si="0"/>
        <v>10000</v>
      </c>
      <c r="O20" s="35"/>
      <c r="P20" s="35"/>
      <c r="Q20" s="35"/>
      <c r="R20" s="35"/>
      <c r="S20" s="35"/>
    </row>
    <row r="21" spans="1:19" ht="22.5" customHeight="1">
      <c r="A21" s="2" t="s">
        <v>67</v>
      </c>
      <c r="B21" s="3"/>
      <c r="C21" s="3"/>
      <c r="D21" s="3">
        <v>1000</v>
      </c>
      <c r="E21" s="3">
        <v>0</v>
      </c>
      <c r="F21" s="3">
        <v>500</v>
      </c>
      <c r="G21" s="3">
        <v>500</v>
      </c>
      <c r="H21" s="3">
        <v>1000</v>
      </c>
      <c r="I21" s="3"/>
      <c r="J21" s="3"/>
      <c r="K21" s="3">
        <v>500</v>
      </c>
      <c r="L21" s="3">
        <v>500</v>
      </c>
      <c r="M21" s="3">
        <v>500</v>
      </c>
      <c r="N21" s="3">
        <f t="shared" si="0"/>
        <v>4500</v>
      </c>
      <c r="O21" s="35"/>
      <c r="P21" s="35"/>
      <c r="Q21" s="35"/>
      <c r="R21" s="35"/>
      <c r="S21" s="35"/>
    </row>
    <row r="22" spans="1:19" ht="22.5" customHeight="1">
      <c r="A22" s="2" t="s">
        <v>37</v>
      </c>
      <c r="B22" s="3"/>
      <c r="C22" s="3"/>
      <c r="D22" s="3"/>
      <c r="E22" s="3"/>
      <c r="F22" s="3"/>
      <c r="G22" s="3"/>
      <c r="H22" s="3">
        <v>1000</v>
      </c>
      <c r="I22" s="3"/>
      <c r="J22" s="3">
        <v>500</v>
      </c>
      <c r="K22" s="3">
        <v>505</v>
      </c>
      <c r="L22" s="3">
        <v>500</v>
      </c>
      <c r="M22" s="3">
        <v>500</v>
      </c>
      <c r="N22" s="3">
        <f t="shared" si="0"/>
        <v>3005</v>
      </c>
      <c r="O22" s="35"/>
      <c r="P22" s="35"/>
      <c r="Q22" s="35"/>
      <c r="R22" s="35"/>
      <c r="S22" s="35"/>
    </row>
    <row r="23" spans="1:19" ht="22.5" customHeight="1">
      <c r="A23" s="2" t="s">
        <v>39</v>
      </c>
      <c r="B23" s="3"/>
      <c r="C23" s="3"/>
      <c r="D23" s="3"/>
      <c r="E23" s="3"/>
      <c r="F23" s="3"/>
      <c r="G23" s="3"/>
      <c r="H23" s="3"/>
      <c r="I23" s="3"/>
      <c r="J23" s="3"/>
      <c r="K23" s="3"/>
      <c r="L23" s="3"/>
      <c r="M23" s="3">
        <v>1000</v>
      </c>
      <c r="N23" s="3">
        <f t="shared" si="0"/>
        <v>1000</v>
      </c>
      <c r="O23" s="35"/>
      <c r="P23" s="35"/>
      <c r="Q23" s="35"/>
      <c r="R23" s="35"/>
      <c r="S23" s="35"/>
    </row>
    <row r="24" spans="1:19" ht="22.5" customHeight="1">
      <c r="A24" s="32" t="s">
        <v>132</v>
      </c>
      <c r="B24" s="3"/>
      <c r="C24" s="3"/>
      <c r="D24" s="3">
        <v>2243</v>
      </c>
      <c r="E24" s="3"/>
      <c r="F24" s="3"/>
      <c r="G24" s="3">
        <v>1547</v>
      </c>
      <c r="H24" s="3">
        <v>3000</v>
      </c>
      <c r="I24" s="3"/>
      <c r="J24" s="3"/>
      <c r="K24" s="3">
        <v>1752</v>
      </c>
      <c r="L24" s="3"/>
      <c r="M24" s="3">
        <v>3330</v>
      </c>
      <c r="N24" s="3">
        <f t="shared" si="0"/>
        <v>11872</v>
      </c>
      <c r="O24" s="35"/>
      <c r="P24" s="35"/>
      <c r="Q24" s="35"/>
      <c r="R24" s="35"/>
      <c r="S24" s="35"/>
    </row>
    <row r="25" spans="1:19" ht="22.5" customHeight="1">
      <c r="A25" s="3" t="s">
        <v>55</v>
      </c>
      <c r="B25" s="3">
        <f t="shared" ref="B25:N25" si="1">SUM(B2:B24)</f>
        <v>4500</v>
      </c>
      <c r="C25" s="3">
        <f t="shared" si="1"/>
        <v>2500</v>
      </c>
      <c r="D25" s="3">
        <f t="shared" si="1"/>
        <v>23243</v>
      </c>
      <c r="E25" s="3">
        <f t="shared" si="1"/>
        <v>5500</v>
      </c>
      <c r="F25" s="3">
        <f t="shared" si="1"/>
        <v>14500</v>
      </c>
      <c r="G25" s="3">
        <f t="shared" si="1"/>
        <v>5547</v>
      </c>
      <c r="H25" s="3">
        <f t="shared" si="1"/>
        <v>21400</v>
      </c>
      <c r="I25" s="3">
        <f t="shared" si="1"/>
        <v>5500</v>
      </c>
      <c r="J25" s="3">
        <f t="shared" si="1"/>
        <v>5500</v>
      </c>
      <c r="K25" s="3">
        <f t="shared" si="1"/>
        <v>11257</v>
      </c>
      <c r="L25" s="3">
        <f t="shared" si="1"/>
        <v>7500</v>
      </c>
      <c r="M25" s="3">
        <f t="shared" si="1"/>
        <v>14330</v>
      </c>
      <c r="N25" s="3">
        <f t="shared" si="1"/>
        <v>121277</v>
      </c>
      <c r="O25" s="35"/>
      <c r="P25" s="35"/>
      <c r="Q25" s="35"/>
      <c r="R25" s="35"/>
      <c r="S25" s="35"/>
    </row>
    <row r="26" spans="1:19" ht="13">
      <c r="O26" s="35"/>
      <c r="P26" s="35"/>
      <c r="Q26" s="35"/>
      <c r="R26" s="35"/>
      <c r="S26" s="35"/>
    </row>
    <row r="27" spans="1:19" ht="13">
      <c r="O27" s="35"/>
      <c r="P27" s="35"/>
      <c r="Q27" s="35"/>
      <c r="R27" s="35"/>
      <c r="S27" s="35"/>
    </row>
    <row r="28" spans="1:19" ht="13">
      <c r="O28" s="35"/>
      <c r="P28" s="35"/>
      <c r="Q28" s="35"/>
      <c r="R28" s="35"/>
      <c r="S28" s="35"/>
    </row>
    <row r="29" spans="1:19" ht="13">
      <c r="O29" s="35"/>
      <c r="P29" s="35"/>
      <c r="Q29" s="35"/>
      <c r="R29" s="35"/>
      <c r="S29" s="35"/>
    </row>
    <row r="30" spans="1:19" ht="13">
      <c r="O30" s="35"/>
      <c r="P30" s="35"/>
      <c r="Q30" s="35"/>
      <c r="R30" s="35"/>
      <c r="S30" s="35"/>
    </row>
    <row r="31" spans="1:19" ht="13">
      <c r="O31" s="35"/>
      <c r="P31" s="35"/>
      <c r="Q31" s="35"/>
      <c r="R31" s="35"/>
      <c r="S31" s="35"/>
    </row>
  </sheetData>
  <mergeCells count="5">
    <mergeCell ref="P1:Q1"/>
    <mergeCell ref="R1:S1"/>
    <mergeCell ref="U1:V1"/>
    <mergeCell ref="P10:R10"/>
    <mergeCell ref="P17:R17"/>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T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1640625" customWidth="1"/>
    <col min="2" max="3" width="8.5" customWidth="1"/>
    <col min="4" max="4" width="9.1640625" customWidth="1"/>
    <col min="5" max="5" width="8.6640625" customWidth="1"/>
    <col min="6" max="6" width="9.1640625" customWidth="1"/>
    <col min="7" max="7" width="9.6640625" customWidth="1"/>
    <col min="8" max="8" width="9.33203125" customWidth="1"/>
    <col min="9" max="9" width="8.5" customWidth="1"/>
    <col min="10" max="10" width="8.33203125" customWidth="1"/>
    <col min="11" max="11" width="6" customWidth="1"/>
    <col min="12" max="12" width="9.1640625" customWidth="1"/>
    <col min="13" max="13" width="8.1640625" customWidth="1"/>
    <col min="14" max="14" width="8.83203125" customWidth="1"/>
    <col min="19" max="19" width="25.6640625" customWidth="1"/>
    <col min="20" max="20" width="16.1640625" customWidth="1"/>
  </cols>
  <sheetData>
    <row r="1" spans="1:20" ht="22.5" customHeight="1">
      <c r="A1" s="1" t="s">
        <v>54</v>
      </c>
      <c r="B1" s="39" t="s">
        <v>137</v>
      </c>
      <c r="C1" s="39" t="s">
        <v>138</v>
      </c>
      <c r="D1" s="39" t="s">
        <v>139</v>
      </c>
      <c r="E1" s="39" t="s">
        <v>140</v>
      </c>
      <c r="F1" s="39" t="s">
        <v>141</v>
      </c>
      <c r="G1" s="39" t="s">
        <v>142</v>
      </c>
      <c r="H1" s="39" t="s">
        <v>143</v>
      </c>
      <c r="I1" s="39" t="s">
        <v>144</v>
      </c>
      <c r="J1" s="39" t="s">
        <v>145</v>
      </c>
      <c r="K1" s="39" t="s">
        <v>146</v>
      </c>
      <c r="L1" s="39" t="s">
        <v>147</v>
      </c>
      <c r="M1" s="39" t="s">
        <v>148</v>
      </c>
      <c r="N1" s="39" t="s">
        <v>55</v>
      </c>
    </row>
    <row r="2" spans="1:20" ht="22.5" customHeight="1">
      <c r="A2" s="2" t="s">
        <v>2</v>
      </c>
      <c r="B2" s="40">
        <v>500</v>
      </c>
      <c r="C2" s="40">
        <v>500</v>
      </c>
      <c r="D2" s="40">
        <v>500</v>
      </c>
      <c r="E2" s="40">
        <v>500</v>
      </c>
      <c r="F2" s="40">
        <v>500</v>
      </c>
      <c r="G2" s="40">
        <v>500</v>
      </c>
      <c r="H2" s="40">
        <v>500</v>
      </c>
      <c r="I2" s="40">
        <v>500</v>
      </c>
      <c r="J2" s="40">
        <v>500</v>
      </c>
      <c r="K2" s="40">
        <v>500</v>
      </c>
      <c r="L2" s="40">
        <v>500</v>
      </c>
      <c r="M2" s="40">
        <v>500</v>
      </c>
      <c r="N2" s="3">
        <f t="shared" ref="N2:N24" si="0">SUM(B2:M2)</f>
        <v>6000</v>
      </c>
    </row>
    <row r="3" spans="1:20" ht="22.5" customHeight="1">
      <c r="A3" s="2" t="s">
        <v>3</v>
      </c>
      <c r="B3" s="40"/>
      <c r="C3" s="40"/>
      <c r="D3" s="40"/>
      <c r="E3" s="40"/>
      <c r="F3" s="40"/>
      <c r="G3" s="40"/>
      <c r="H3" s="40"/>
      <c r="I3" s="40"/>
      <c r="J3" s="40"/>
      <c r="K3" s="40"/>
      <c r="L3" s="40"/>
      <c r="M3" s="40"/>
      <c r="N3" s="3">
        <f t="shared" si="0"/>
        <v>0</v>
      </c>
    </row>
    <row r="4" spans="1:20" ht="22.5" customHeight="1">
      <c r="A4" s="5" t="s">
        <v>5</v>
      </c>
      <c r="B4" s="40">
        <v>500</v>
      </c>
      <c r="C4" s="40">
        <v>500</v>
      </c>
      <c r="D4" s="40">
        <v>500</v>
      </c>
      <c r="E4" s="40">
        <v>500</v>
      </c>
      <c r="F4" s="40">
        <v>500</v>
      </c>
      <c r="G4" s="40">
        <v>500</v>
      </c>
      <c r="H4" s="40">
        <v>500</v>
      </c>
      <c r="I4" s="40">
        <v>500</v>
      </c>
      <c r="J4" s="40">
        <v>500</v>
      </c>
      <c r="K4" s="40">
        <v>500</v>
      </c>
      <c r="L4" s="40">
        <v>500</v>
      </c>
      <c r="M4" s="40">
        <v>500</v>
      </c>
      <c r="N4" s="3">
        <f t="shared" si="0"/>
        <v>6000</v>
      </c>
    </row>
    <row r="5" spans="1:20" ht="22.5" customHeight="1">
      <c r="A5" s="2" t="s">
        <v>7</v>
      </c>
      <c r="B5" s="40"/>
      <c r="C5" s="40"/>
      <c r="D5" s="40">
        <v>500</v>
      </c>
      <c r="E5" s="40">
        <v>500</v>
      </c>
      <c r="F5" s="40">
        <v>1000</v>
      </c>
      <c r="G5" s="40"/>
      <c r="H5" s="40">
        <v>500</v>
      </c>
      <c r="I5" s="40"/>
      <c r="J5" s="40"/>
      <c r="K5" s="40">
        <v>500</v>
      </c>
      <c r="L5" s="40"/>
      <c r="M5" s="40"/>
      <c r="N5" s="3">
        <f t="shared" si="0"/>
        <v>3000</v>
      </c>
    </row>
    <row r="6" spans="1:20" ht="22.5" customHeight="1">
      <c r="A6" s="5" t="s">
        <v>9</v>
      </c>
      <c r="B6" s="40"/>
      <c r="C6" s="40"/>
      <c r="D6" s="40"/>
      <c r="E6" s="40"/>
      <c r="F6" s="40"/>
      <c r="G6" s="40"/>
      <c r="H6" s="40"/>
      <c r="I6" s="40"/>
      <c r="J6" s="40"/>
      <c r="K6" s="40"/>
      <c r="L6" s="40"/>
      <c r="M6" s="40"/>
      <c r="N6" s="3">
        <f t="shared" si="0"/>
        <v>0</v>
      </c>
    </row>
    <row r="7" spans="1:20" ht="22.5" customHeight="1">
      <c r="A7" s="5" t="s">
        <v>10</v>
      </c>
      <c r="B7" s="40"/>
      <c r="C7" s="40"/>
      <c r="D7" s="40"/>
      <c r="E7" s="40">
        <v>3000</v>
      </c>
      <c r="F7" s="40"/>
      <c r="G7" s="40"/>
      <c r="H7" s="40"/>
      <c r="I7" s="40"/>
      <c r="J7" s="40"/>
      <c r="K7" s="40"/>
      <c r="L7" s="40"/>
      <c r="M7" s="40"/>
      <c r="N7" s="3">
        <f t="shared" si="0"/>
        <v>3000</v>
      </c>
    </row>
    <row r="8" spans="1:20" ht="22.5" customHeight="1">
      <c r="A8" s="2" t="s">
        <v>12</v>
      </c>
      <c r="B8" s="40"/>
      <c r="C8" s="40">
        <v>500</v>
      </c>
      <c r="D8" s="40"/>
      <c r="E8" s="40">
        <v>1000</v>
      </c>
      <c r="F8" s="40"/>
      <c r="G8" s="40">
        <v>1000</v>
      </c>
      <c r="H8" s="40">
        <v>1000</v>
      </c>
      <c r="I8" s="40"/>
      <c r="J8" s="40"/>
      <c r="K8" s="40"/>
      <c r="L8" s="40">
        <v>1000</v>
      </c>
      <c r="M8" s="40"/>
      <c r="N8" s="3">
        <f t="shared" si="0"/>
        <v>4500</v>
      </c>
    </row>
    <row r="9" spans="1:20" ht="22.5" customHeight="1">
      <c r="A9" s="2" t="s">
        <v>14</v>
      </c>
      <c r="B9" s="40">
        <v>500</v>
      </c>
      <c r="C9" s="40">
        <v>500</v>
      </c>
      <c r="D9" s="40">
        <v>500</v>
      </c>
      <c r="E9" s="40">
        <v>500</v>
      </c>
      <c r="F9" s="40">
        <v>500</v>
      </c>
      <c r="G9" s="40">
        <v>500</v>
      </c>
      <c r="H9" s="40">
        <v>1000</v>
      </c>
      <c r="I9" s="40"/>
      <c r="J9" s="40">
        <v>1000</v>
      </c>
      <c r="K9" s="40"/>
      <c r="L9" s="40">
        <v>1000</v>
      </c>
      <c r="M9" s="40">
        <v>500</v>
      </c>
      <c r="N9" s="3">
        <f t="shared" si="0"/>
        <v>6500</v>
      </c>
    </row>
    <row r="10" spans="1:20" ht="22.5" customHeight="1">
      <c r="A10" s="2" t="s">
        <v>16</v>
      </c>
      <c r="B10" s="40"/>
      <c r="C10" s="40">
        <v>5000</v>
      </c>
      <c r="D10" s="40"/>
      <c r="E10" s="40"/>
      <c r="F10" s="40"/>
      <c r="G10" s="40"/>
      <c r="H10" s="40"/>
      <c r="I10" s="40"/>
      <c r="J10" s="40"/>
      <c r="K10" s="40"/>
      <c r="L10" s="40"/>
      <c r="M10" s="40"/>
      <c r="N10" s="3">
        <f t="shared" si="0"/>
        <v>5000</v>
      </c>
    </row>
    <row r="11" spans="1:20" ht="22.5" customHeight="1">
      <c r="A11" s="5" t="s">
        <v>18</v>
      </c>
      <c r="B11" s="40">
        <v>500</v>
      </c>
      <c r="C11" s="40">
        <v>500</v>
      </c>
      <c r="D11" s="40">
        <v>500</v>
      </c>
      <c r="E11" s="40">
        <v>500</v>
      </c>
      <c r="F11" s="40">
        <v>500</v>
      </c>
      <c r="G11" s="40">
        <v>500</v>
      </c>
      <c r="H11" s="40">
        <v>500</v>
      </c>
      <c r="I11" s="40">
        <v>500</v>
      </c>
      <c r="J11" s="40">
        <v>500</v>
      </c>
      <c r="K11" s="40">
        <v>500</v>
      </c>
      <c r="L11" s="40">
        <v>500</v>
      </c>
      <c r="M11" s="40">
        <v>500</v>
      </c>
      <c r="N11" s="3">
        <f t="shared" si="0"/>
        <v>6000</v>
      </c>
    </row>
    <row r="12" spans="1:20" ht="22.5" customHeight="1">
      <c r="A12" s="5" t="s">
        <v>20</v>
      </c>
      <c r="B12" s="40"/>
      <c r="C12" s="40"/>
      <c r="D12" s="40"/>
      <c r="E12" s="40"/>
      <c r="F12" s="40"/>
      <c r="G12" s="40"/>
      <c r="H12" s="40"/>
      <c r="I12" s="40"/>
      <c r="J12" s="40"/>
      <c r="K12" s="40"/>
      <c r="L12" s="40"/>
      <c r="M12" s="40"/>
      <c r="N12" s="3">
        <f t="shared" si="0"/>
        <v>0</v>
      </c>
      <c r="P12" s="36"/>
      <c r="Q12" s="36"/>
    </row>
    <row r="13" spans="1:20" ht="22.5" customHeight="1">
      <c r="A13" s="5" t="s">
        <v>22</v>
      </c>
      <c r="B13" s="40"/>
      <c r="C13" s="40">
        <v>500</v>
      </c>
      <c r="D13" s="40">
        <v>500</v>
      </c>
      <c r="E13" s="40"/>
      <c r="F13" s="40"/>
      <c r="G13" s="40"/>
      <c r="H13" s="40"/>
      <c r="I13" s="40"/>
      <c r="J13" s="40"/>
      <c r="K13" s="40"/>
      <c r="L13" s="40">
        <v>1000</v>
      </c>
      <c r="M13" s="40"/>
      <c r="N13" s="3">
        <f t="shared" si="0"/>
        <v>2000</v>
      </c>
      <c r="S13" s="35"/>
      <c r="T13" s="35"/>
    </row>
    <row r="14" spans="1:20" ht="22.5" customHeight="1">
      <c r="A14" s="5" t="s">
        <v>24</v>
      </c>
      <c r="B14" s="40">
        <v>500</v>
      </c>
      <c r="C14" s="40">
        <v>500</v>
      </c>
      <c r="D14" s="40">
        <v>500</v>
      </c>
      <c r="E14" s="40">
        <v>500</v>
      </c>
      <c r="F14" s="40">
        <v>500</v>
      </c>
      <c r="G14" s="40">
        <v>500</v>
      </c>
      <c r="H14" s="40">
        <v>500</v>
      </c>
      <c r="I14" s="40">
        <v>500</v>
      </c>
      <c r="J14" s="40">
        <v>500</v>
      </c>
      <c r="K14" s="40">
        <v>500</v>
      </c>
      <c r="L14" s="40">
        <v>500</v>
      </c>
      <c r="M14" s="40">
        <v>500</v>
      </c>
      <c r="N14" s="3">
        <f t="shared" si="0"/>
        <v>6000</v>
      </c>
    </row>
    <row r="15" spans="1:20" ht="22.5" customHeight="1">
      <c r="A15" s="5" t="s">
        <v>25</v>
      </c>
      <c r="B15" s="40"/>
      <c r="C15" s="40"/>
      <c r="D15" s="40"/>
      <c r="E15" s="40"/>
      <c r="F15" s="40"/>
      <c r="G15" s="40"/>
      <c r="H15" s="40"/>
      <c r="I15" s="40"/>
      <c r="J15" s="40"/>
      <c r="K15" s="40"/>
      <c r="L15" s="40"/>
      <c r="M15" s="40"/>
      <c r="N15" s="3">
        <f t="shared" si="0"/>
        <v>0</v>
      </c>
    </row>
    <row r="16" spans="1:20" ht="22.5" customHeight="1">
      <c r="A16" s="2" t="s">
        <v>26</v>
      </c>
      <c r="B16" s="40"/>
      <c r="C16" s="40"/>
      <c r="D16" s="40"/>
      <c r="E16" s="40"/>
      <c r="F16" s="40"/>
      <c r="G16" s="40"/>
      <c r="H16" s="40"/>
      <c r="I16" s="40"/>
      <c r="J16" s="40"/>
      <c r="K16" s="40"/>
      <c r="L16" s="40"/>
      <c r="M16" s="40"/>
      <c r="N16" s="3">
        <f t="shared" si="0"/>
        <v>0</v>
      </c>
    </row>
    <row r="17" spans="1:17" ht="22.5" customHeight="1">
      <c r="A17" s="2" t="s">
        <v>28</v>
      </c>
      <c r="B17" s="40"/>
      <c r="C17" s="40">
        <v>1000</v>
      </c>
      <c r="D17" s="40">
        <v>1000</v>
      </c>
      <c r="E17" s="40"/>
      <c r="F17" s="40"/>
      <c r="G17" s="40"/>
      <c r="H17" s="40"/>
      <c r="I17" s="40"/>
      <c r="J17" s="40"/>
      <c r="K17" s="40"/>
      <c r="L17" s="40">
        <v>3000</v>
      </c>
      <c r="M17" s="40"/>
      <c r="N17" s="3">
        <f t="shared" si="0"/>
        <v>5000</v>
      </c>
    </row>
    <row r="18" spans="1:17" ht="22.5" customHeight="1">
      <c r="A18" s="2" t="s">
        <v>29</v>
      </c>
      <c r="B18" s="40"/>
      <c r="C18" s="40"/>
      <c r="D18" s="40"/>
      <c r="E18" s="40"/>
      <c r="F18" s="40"/>
      <c r="G18" s="40"/>
      <c r="H18" s="40"/>
      <c r="I18" s="40"/>
      <c r="J18" s="40"/>
      <c r="K18" s="40"/>
      <c r="L18" s="40"/>
      <c r="M18" s="40"/>
      <c r="N18" s="3">
        <f t="shared" si="0"/>
        <v>0</v>
      </c>
      <c r="P18" s="41"/>
      <c r="Q18" s="42"/>
    </row>
    <row r="19" spans="1:17" ht="22.5" customHeight="1">
      <c r="A19" s="5" t="s">
        <v>31</v>
      </c>
      <c r="B19" s="40"/>
      <c r="C19" s="40"/>
      <c r="D19" s="40"/>
      <c r="E19" s="40"/>
      <c r="F19" s="40"/>
      <c r="G19" s="40"/>
      <c r="H19" s="40"/>
      <c r="I19" s="40"/>
      <c r="J19" s="40"/>
      <c r="K19" s="40"/>
      <c r="L19" s="40"/>
      <c r="M19" s="40"/>
      <c r="N19" s="3">
        <f t="shared" si="0"/>
        <v>0</v>
      </c>
    </row>
    <row r="20" spans="1:17" ht="22.5" customHeight="1">
      <c r="A20" s="2" t="s">
        <v>33</v>
      </c>
      <c r="B20" s="40">
        <v>0</v>
      </c>
      <c r="C20" s="40">
        <v>0</v>
      </c>
      <c r="D20" s="40">
        <v>0</v>
      </c>
      <c r="E20" s="40">
        <v>0</v>
      </c>
      <c r="F20" s="40">
        <v>0</v>
      </c>
      <c r="G20" s="40">
        <v>0</v>
      </c>
      <c r="H20" s="40">
        <v>0</v>
      </c>
      <c r="I20" s="40">
        <v>0</v>
      </c>
      <c r="J20" s="40">
        <v>0</v>
      </c>
      <c r="K20" s="40">
        <v>0</v>
      </c>
      <c r="L20" s="40">
        <v>0</v>
      </c>
      <c r="M20" s="40">
        <v>0</v>
      </c>
      <c r="N20" s="3">
        <f t="shared" si="0"/>
        <v>0</v>
      </c>
    </row>
    <row r="21" spans="1:17" ht="22.5" customHeight="1">
      <c r="A21" s="2" t="s">
        <v>67</v>
      </c>
      <c r="B21" s="40">
        <v>0</v>
      </c>
      <c r="C21" s="40">
        <v>0</v>
      </c>
      <c r="D21" s="40">
        <v>0</v>
      </c>
      <c r="E21" s="40">
        <v>0</v>
      </c>
      <c r="F21" s="40">
        <v>0</v>
      </c>
      <c r="G21" s="40">
        <v>0</v>
      </c>
      <c r="H21" s="40">
        <v>0</v>
      </c>
      <c r="I21" s="40">
        <v>0</v>
      </c>
      <c r="J21" s="40">
        <v>0</v>
      </c>
      <c r="K21" s="40">
        <v>0</v>
      </c>
      <c r="L21" s="40">
        <v>0</v>
      </c>
      <c r="M21" s="40">
        <v>0</v>
      </c>
      <c r="N21" s="3">
        <f t="shared" si="0"/>
        <v>0</v>
      </c>
    </row>
    <row r="22" spans="1:17" ht="22.5" customHeight="1">
      <c r="A22" s="2" t="s">
        <v>37</v>
      </c>
      <c r="B22" s="40">
        <v>0</v>
      </c>
      <c r="C22" s="40">
        <v>0</v>
      </c>
      <c r="D22" s="40">
        <v>0</v>
      </c>
      <c r="E22" s="40">
        <v>0</v>
      </c>
      <c r="F22" s="40">
        <v>0</v>
      </c>
      <c r="G22" s="40">
        <v>0</v>
      </c>
      <c r="H22" s="40">
        <v>0</v>
      </c>
      <c r="I22" s="40">
        <v>0</v>
      </c>
      <c r="J22" s="40">
        <v>0</v>
      </c>
      <c r="K22" s="40">
        <v>0</v>
      </c>
      <c r="L22" s="40">
        <v>0</v>
      </c>
      <c r="M22" s="40">
        <v>0</v>
      </c>
      <c r="N22" s="3">
        <f t="shared" si="0"/>
        <v>0</v>
      </c>
    </row>
    <row r="23" spans="1:17" ht="22.5" customHeight="1">
      <c r="A23" s="2" t="s">
        <v>39</v>
      </c>
      <c r="B23" s="40">
        <v>0</v>
      </c>
      <c r="C23" s="40">
        <v>0</v>
      </c>
      <c r="D23" s="40">
        <v>0</v>
      </c>
      <c r="E23" s="40">
        <v>0</v>
      </c>
      <c r="F23" s="40">
        <v>0</v>
      </c>
      <c r="G23" s="40">
        <v>0</v>
      </c>
      <c r="H23" s="40">
        <v>0</v>
      </c>
      <c r="I23" s="40">
        <v>0</v>
      </c>
      <c r="J23" s="40">
        <v>0</v>
      </c>
      <c r="K23" s="40">
        <v>0</v>
      </c>
      <c r="L23" s="40">
        <v>0</v>
      </c>
      <c r="M23" s="40">
        <v>0</v>
      </c>
      <c r="N23" s="3">
        <f t="shared" si="0"/>
        <v>0</v>
      </c>
    </row>
    <row r="24" spans="1:17" ht="22.5" customHeight="1">
      <c r="A24" s="43" t="s">
        <v>149</v>
      </c>
      <c r="B24" s="40"/>
      <c r="C24" s="40">
        <v>1600</v>
      </c>
      <c r="D24" s="40">
        <f>1369+800</f>
        <v>2169</v>
      </c>
      <c r="E24" s="40"/>
      <c r="F24" s="40"/>
      <c r="G24" s="40">
        <v>1370</v>
      </c>
      <c r="H24" s="40">
        <v>4666</v>
      </c>
      <c r="I24" s="40"/>
      <c r="J24" s="40">
        <v>1813</v>
      </c>
      <c r="K24" s="40"/>
      <c r="L24" s="40">
        <v>533</v>
      </c>
      <c r="M24" s="40">
        <v>2052</v>
      </c>
      <c r="N24" s="3">
        <f t="shared" si="0"/>
        <v>14203</v>
      </c>
    </row>
    <row r="25" spans="1:17" ht="22.5" customHeight="1">
      <c r="A25" s="3" t="s">
        <v>55</v>
      </c>
      <c r="B25" s="3">
        <f t="shared" ref="B25:N25" si="1">SUM(B2:B24)</f>
        <v>2500</v>
      </c>
      <c r="C25" s="3">
        <f t="shared" si="1"/>
        <v>11100</v>
      </c>
      <c r="D25" s="3">
        <f t="shared" si="1"/>
        <v>6669</v>
      </c>
      <c r="E25" s="3">
        <f t="shared" si="1"/>
        <v>7000</v>
      </c>
      <c r="F25" s="3">
        <f t="shared" si="1"/>
        <v>3500</v>
      </c>
      <c r="G25" s="3">
        <f t="shared" si="1"/>
        <v>4870</v>
      </c>
      <c r="H25" s="3">
        <f t="shared" si="1"/>
        <v>9166</v>
      </c>
      <c r="I25" s="3">
        <f t="shared" si="1"/>
        <v>2000</v>
      </c>
      <c r="J25" s="3">
        <f t="shared" si="1"/>
        <v>4813</v>
      </c>
      <c r="K25" s="3">
        <f t="shared" si="1"/>
        <v>2500</v>
      </c>
      <c r="L25" s="3">
        <f t="shared" si="1"/>
        <v>8533</v>
      </c>
      <c r="M25" s="3">
        <f t="shared" si="1"/>
        <v>4552</v>
      </c>
      <c r="N25" s="3">
        <f t="shared" si="1"/>
        <v>67203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1640625" customWidth="1"/>
    <col min="2" max="3" width="8.5" customWidth="1"/>
    <col min="4" max="4" width="9.1640625" customWidth="1"/>
    <col min="5" max="5" width="8.6640625" customWidth="1"/>
    <col min="6" max="6" width="9.1640625" customWidth="1"/>
    <col min="7" max="7" width="9.6640625" customWidth="1"/>
    <col min="8" max="8" width="9.33203125" customWidth="1"/>
    <col min="9" max="9" width="9.1640625" customWidth="1"/>
    <col min="10" max="10" width="8.33203125" customWidth="1"/>
    <col min="11" max="11" width="8.83203125" customWidth="1"/>
    <col min="12" max="12" width="9.1640625" customWidth="1"/>
    <col min="13" max="14" width="8.83203125" customWidth="1"/>
  </cols>
  <sheetData>
    <row r="1" spans="1:14" ht="22.5" customHeight="1">
      <c r="A1" s="1" t="s">
        <v>54</v>
      </c>
      <c r="B1" s="39" t="s">
        <v>137</v>
      </c>
      <c r="C1" s="39" t="s">
        <v>138</v>
      </c>
      <c r="D1" s="39" t="s">
        <v>139</v>
      </c>
      <c r="E1" s="39" t="s">
        <v>140</v>
      </c>
      <c r="F1" s="39" t="s">
        <v>141</v>
      </c>
      <c r="G1" s="39" t="s">
        <v>142</v>
      </c>
      <c r="H1" s="39" t="s">
        <v>143</v>
      </c>
      <c r="I1" s="39" t="s">
        <v>144</v>
      </c>
      <c r="J1" s="39" t="s">
        <v>145</v>
      </c>
      <c r="K1" s="39" t="s">
        <v>146</v>
      </c>
      <c r="L1" s="39" t="s">
        <v>147</v>
      </c>
      <c r="M1" s="39" t="s">
        <v>148</v>
      </c>
      <c r="N1" s="39" t="s">
        <v>55</v>
      </c>
    </row>
    <row r="2" spans="1:14" ht="22.5" customHeight="1">
      <c r="A2" s="2" t="s">
        <v>2</v>
      </c>
      <c r="B2" s="40">
        <v>500</v>
      </c>
      <c r="C2" s="14">
        <v>500</v>
      </c>
      <c r="D2" s="14">
        <v>500</v>
      </c>
      <c r="E2" s="14">
        <v>500</v>
      </c>
      <c r="F2" s="14">
        <v>500</v>
      </c>
      <c r="G2" s="14">
        <v>500</v>
      </c>
      <c r="H2" s="14">
        <v>500</v>
      </c>
      <c r="I2" s="14">
        <v>500</v>
      </c>
      <c r="J2" s="14">
        <v>500</v>
      </c>
      <c r="K2" s="14">
        <v>500</v>
      </c>
      <c r="L2" s="14">
        <v>500</v>
      </c>
      <c r="M2" s="40">
        <v>500</v>
      </c>
      <c r="N2" s="3">
        <f t="shared" ref="N2:N24" si="0">SUM(B2:M2)</f>
        <v>6000</v>
      </c>
    </row>
    <row r="3" spans="1:14" ht="22.5" customHeight="1">
      <c r="A3" s="2" t="s">
        <v>3</v>
      </c>
      <c r="B3" s="40">
        <v>500</v>
      </c>
      <c r="C3" s="14">
        <v>500</v>
      </c>
      <c r="D3" s="14">
        <v>1000</v>
      </c>
      <c r="E3" s="14">
        <v>500</v>
      </c>
      <c r="F3" s="14">
        <v>500</v>
      </c>
      <c r="G3" s="14">
        <v>500</v>
      </c>
      <c r="H3" s="14">
        <v>500</v>
      </c>
      <c r="I3" s="14">
        <v>500</v>
      </c>
      <c r="J3" s="14"/>
      <c r="K3" s="14"/>
      <c r="L3" s="14"/>
      <c r="M3" s="40"/>
      <c r="N3" s="3">
        <f t="shared" si="0"/>
        <v>4500</v>
      </c>
    </row>
    <row r="4" spans="1:14" ht="22.5" customHeight="1">
      <c r="A4" s="5" t="s">
        <v>5</v>
      </c>
      <c r="B4" s="40">
        <v>1000</v>
      </c>
      <c r="C4" s="14"/>
      <c r="D4" s="14">
        <v>500</v>
      </c>
      <c r="E4" s="14">
        <v>500</v>
      </c>
      <c r="F4" s="14">
        <v>500</v>
      </c>
      <c r="G4" s="14">
        <v>500</v>
      </c>
      <c r="H4" s="14">
        <v>500</v>
      </c>
      <c r="I4" s="14">
        <v>500</v>
      </c>
      <c r="J4" s="14"/>
      <c r="K4" s="14">
        <v>1000</v>
      </c>
      <c r="L4" s="14"/>
      <c r="M4" s="40">
        <v>1000</v>
      </c>
      <c r="N4" s="3">
        <f t="shared" si="0"/>
        <v>6000</v>
      </c>
    </row>
    <row r="5" spans="1:14" ht="22.5" customHeight="1">
      <c r="A5" s="2" t="s">
        <v>7</v>
      </c>
      <c r="B5" s="40">
        <v>2000</v>
      </c>
      <c r="C5" s="14"/>
      <c r="D5" s="14">
        <v>2000</v>
      </c>
      <c r="E5" s="14"/>
      <c r="F5" s="14">
        <v>2000</v>
      </c>
      <c r="G5" s="14"/>
      <c r="H5" s="14">
        <v>1000</v>
      </c>
      <c r="I5" s="14">
        <v>1000</v>
      </c>
      <c r="J5" s="14">
        <v>1000</v>
      </c>
      <c r="K5" s="14">
        <v>500</v>
      </c>
      <c r="L5" s="14">
        <v>500</v>
      </c>
      <c r="M5" s="40">
        <v>500</v>
      </c>
      <c r="N5" s="3">
        <f t="shared" si="0"/>
        <v>10500</v>
      </c>
    </row>
    <row r="6" spans="1:14" ht="22.5" customHeight="1">
      <c r="A6" s="5" t="s">
        <v>9</v>
      </c>
      <c r="B6" s="14"/>
      <c r="C6" s="14"/>
      <c r="D6" s="14"/>
      <c r="E6" s="14"/>
      <c r="F6" s="14"/>
      <c r="G6" s="14"/>
      <c r="H6" s="14"/>
      <c r="I6" s="14"/>
      <c r="J6" s="14"/>
      <c r="K6" s="14"/>
      <c r="L6" s="14"/>
      <c r="M6" s="40"/>
      <c r="N6" s="3">
        <f t="shared" si="0"/>
        <v>0</v>
      </c>
    </row>
    <row r="7" spans="1:14" ht="22.5" customHeight="1">
      <c r="A7" s="5" t="s">
        <v>10</v>
      </c>
      <c r="B7" s="14"/>
      <c r="C7" s="14">
        <v>2000</v>
      </c>
      <c r="D7" s="14"/>
      <c r="E7" s="14"/>
      <c r="F7" s="14"/>
      <c r="G7" s="14"/>
      <c r="H7" s="14"/>
      <c r="I7" s="14"/>
      <c r="J7" s="14">
        <v>3000</v>
      </c>
      <c r="K7" s="14"/>
      <c r="L7" s="14"/>
      <c r="M7" s="40"/>
      <c r="N7" s="3">
        <f t="shared" si="0"/>
        <v>5000</v>
      </c>
    </row>
    <row r="8" spans="1:14" ht="22.5" customHeight="1">
      <c r="A8" s="2" t="s">
        <v>12</v>
      </c>
      <c r="B8" s="14">
        <v>1000</v>
      </c>
      <c r="C8" s="14"/>
      <c r="D8" s="14">
        <v>2000</v>
      </c>
      <c r="E8" s="14">
        <v>500</v>
      </c>
      <c r="F8" s="14"/>
      <c r="G8" s="14">
        <v>1500</v>
      </c>
      <c r="H8" s="14"/>
      <c r="I8" s="14"/>
      <c r="J8" s="14"/>
      <c r="K8" s="14"/>
      <c r="L8" s="14"/>
      <c r="M8" s="40"/>
      <c r="N8" s="3">
        <f t="shared" si="0"/>
        <v>5000</v>
      </c>
    </row>
    <row r="9" spans="1:14" ht="22.5" customHeight="1">
      <c r="A9" s="2" t="s">
        <v>14</v>
      </c>
      <c r="B9" s="40">
        <v>500</v>
      </c>
      <c r="C9" s="14">
        <v>500</v>
      </c>
      <c r="D9" s="14">
        <v>500</v>
      </c>
      <c r="E9" s="14"/>
      <c r="F9" s="14">
        <v>1000</v>
      </c>
      <c r="G9" s="14">
        <v>500</v>
      </c>
      <c r="H9" s="14">
        <v>500</v>
      </c>
      <c r="I9" s="14">
        <v>500</v>
      </c>
      <c r="J9" s="14">
        <v>500</v>
      </c>
      <c r="K9" s="14">
        <v>500</v>
      </c>
      <c r="L9" s="14">
        <v>500</v>
      </c>
      <c r="M9" s="40">
        <v>500</v>
      </c>
      <c r="N9" s="3">
        <f t="shared" si="0"/>
        <v>6000</v>
      </c>
    </row>
    <row r="10" spans="1:14" ht="22.5" customHeight="1">
      <c r="A10" s="2" t="s">
        <v>16</v>
      </c>
      <c r="B10" s="14"/>
      <c r="C10" s="14"/>
      <c r="D10" s="14"/>
      <c r="E10" s="14"/>
      <c r="F10" s="14"/>
      <c r="G10" s="14">
        <v>3000</v>
      </c>
      <c r="H10" s="14"/>
      <c r="I10" s="14"/>
      <c r="J10" s="14"/>
      <c r="K10" s="14"/>
      <c r="L10" s="14"/>
      <c r="M10" s="40"/>
      <c r="N10" s="3">
        <f t="shared" si="0"/>
        <v>3000</v>
      </c>
    </row>
    <row r="11" spans="1:14" ht="22.5" customHeight="1">
      <c r="A11" s="5" t="s">
        <v>18</v>
      </c>
      <c r="B11" s="40">
        <v>1000</v>
      </c>
      <c r="C11" s="14"/>
      <c r="D11" s="14">
        <v>500</v>
      </c>
      <c r="E11" s="14">
        <v>500</v>
      </c>
      <c r="F11" s="14">
        <v>500</v>
      </c>
      <c r="G11" s="14">
        <v>500</v>
      </c>
      <c r="H11" s="14">
        <v>500</v>
      </c>
      <c r="I11" s="14">
        <v>500</v>
      </c>
      <c r="J11" s="14"/>
      <c r="K11" s="14">
        <v>1000</v>
      </c>
      <c r="L11" s="14"/>
      <c r="M11" s="40">
        <v>1000</v>
      </c>
      <c r="N11" s="3">
        <f t="shared" si="0"/>
        <v>6000</v>
      </c>
    </row>
    <row r="12" spans="1:14" ht="22.5" customHeight="1">
      <c r="A12" s="5" t="s">
        <v>20</v>
      </c>
      <c r="B12" s="40">
        <v>500</v>
      </c>
      <c r="C12" s="14"/>
      <c r="D12" s="14"/>
      <c r="E12" s="14">
        <v>2000</v>
      </c>
      <c r="F12" s="14"/>
      <c r="G12" s="14">
        <v>500</v>
      </c>
      <c r="H12" s="14">
        <v>1000</v>
      </c>
      <c r="I12" s="14"/>
      <c r="J12" s="14"/>
      <c r="K12" s="14"/>
      <c r="L12" s="14"/>
      <c r="M12" s="40">
        <v>2000</v>
      </c>
      <c r="N12" s="3">
        <f t="shared" si="0"/>
        <v>6000</v>
      </c>
    </row>
    <row r="13" spans="1:14" ht="22.5" customHeight="1">
      <c r="A13" s="5" t="s">
        <v>22</v>
      </c>
      <c r="B13" s="40">
        <v>500</v>
      </c>
      <c r="C13" s="14">
        <v>500</v>
      </c>
      <c r="D13" s="14">
        <v>500</v>
      </c>
      <c r="E13" s="14">
        <v>500</v>
      </c>
      <c r="F13" s="14">
        <v>500</v>
      </c>
      <c r="G13" s="14"/>
      <c r="H13" s="14">
        <v>500</v>
      </c>
      <c r="I13" s="14">
        <v>500</v>
      </c>
      <c r="J13" s="14"/>
      <c r="K13" s="14">
        <v>1000</v>
      </c>
      <c r="L13" s="14">
        <v>500</v>
      </c>
      <c r="M13" s="40">
        <v>500</v>
      </c>
      <c r="N13" s="3">
        <f t="shared" si="0"/>
        <v>5500</v>
      </c>
    </row>
    <row r="14" spans="1:14" ht="22.5" customHeight="1">
      <c r="A14" s="5" t="s">
        <v>24</v>
      </c>
      <c r="B14" s="40">
        <v>1000</v>
      </c>
      <c r="C14" s="14"/>
      <c r="D14" s="14">
        <v>500</v>
      </c>
      <c r="E14" s="14">
        <v>500</v>
      </c>
      <c r="F14" s="14">
        <v>500</v>
      </c>
      <c r="G14" s="14">
        <v>500</v>
      </c>
      <c r="H14" s="14">
        <v>500</v>
      </c>
      <c r="I14" s="14">
        <v>500</v>
      </c>
      <c r="J14" s="14"/>
      <c r="K14" s="14">
        <v>1000</v>
      </c>
      <c r="L14" s="14"/>
      <c r="M14" s="40">
        <v>1000</v>
      </c>
      <c r="N14" s="3">
        <f t="shared" si="0"/>
        <v>6000</v>
      </c>
    </row>
    <row r="15" spans="1:14" ht="22.5" customHeight="1">
      <c r="A15" s="5" t="s">
        <v>25</v>
      </c>
      <c r="B15" s="14"/>
      <c r="C15" s="14"/>
      <c r="D15" s="14"/>
      <c r="E15" s="14"/>
      <c r="F15" s="14"/>
      <c r="G15" s="14"/>
      <c r="H15" s="14"/>
      <c r="I15" s="14"/>
      <c r="J15" s="14"/>
      <c r="K15" s="14"/>
      <c r="L15" s="14"/>
      <c r="M15" s="40"/>
      <c r="N15" s="3">
        <f t="shared" si="0"/>
        <v>0</v>
      </c>
    </row>
    <row r="16" spans="1:14" ht="22.5" customHeight="1">
      <c r="A16" s="2" t="s">
        <v>26</v>
      </c>
      <c r="B16" s="40">
        <v>500</v>
      </c>
      <c r="C16" s="14">
        <v>500</v>
      </c>
      <c r="D16" s="14">
        <v>1000</v>
      </c>
      <c r="E16" s="14">
        <v>500</v>
      </c>
      <c r="F16" s="14">
        <v>500</v>
      </c>
      <c r="G16" s="14">
        <v>500</v>
      </c>
      <c r="H16" s="14">
        <v>500</v>
      </c>
      <c r="I16" s="14">
        <v>500</v>
      </c>
      <c r="J16" s="14"/>
      <c r="K16" s="14"/>
      <c r="L16" s="14"/>
      <c r="M16" s="40"/>
      <c r="N16" s="3">
        <f t="shared" si="0"/>
        <v>4500</v>
      </c>
    </row>
    <row r="17" spans="1:14" ht="22.5" customHeight="1">
      <c r="A17" s="2" t="s">
        <v>28</v>
      </c>
      <c r="B17" s="40">
        <v>4000</v>
      </c>
      <c r="C17" s="14"/>
      <c r="D17" s="14"/>
      <c r="E17" s="14"/>
      <c r="F17" s="14"/>
      <c r="G17" s="14"/>
      <c r="H17" s="14"/>
      <c r="I17" s="14"/>
      <c r="J17" s="14"/>
      <c r="K17" s="14">
        <v>4000</v>
      </c>
      <c r="L17" s="14">
        <v>1000</v>
      </c>
      <c r="M17" s="40">
        <v>500</v>
      </c>
      <c r="N17" s="3">
        <f t="shared" si="0"/>
        <v>9500</v>
      </c>
    </row>
    <row r="18" spans="1:14" ht="22.5" customHeight="1">
      <c r="A18" s="2" t="s">
        <v>29</v>
      </c>
      <c r="B18" s="40">
        <v>500</v>
      </c>
      <c r="C18" s="14">
        <v>500</v>
      </c>
      <c r="D18" s="14">
        <v>500</v>
      </c>
      <c r="E18" s="14">
        <v>500</v>
      </c>
      <c r="F18" s="14"/>
      <c r="G18" s="14">
        <v>1000</v>
      </c>
      <c r="H18" s="14">
        <v>500</v>
      </c>
      <c r="I18" s="14">
        <v>500</v>
      </c>
      <c r="J18" s="14">
        <v>500</v>
      </c>
      <c r="K18" s="14">
        <v>500</v>
      </c>
      <c r="L18" s="14">
        <v>500</v>
      </c>
      <c r="M18" s="40"/>
      <c r="N18" s="3">
        <f t="shared" si="0"/>
        <v>5500</v>
      </c>
    </row>
    <row r="19" spans="1:14" ht="22.5" customHeight="1">
      <c r="A19" s="5" t="s">
        <v>31</v>
      </c>
      <c r="B19" s="40">
        <v>2000</v>
      </c>
      <c r="C19" s="14">
        <v>1000</v>
      </c>
      <c r="D19" s="14"/>
      <c r="E19" s="14"/>
      <c r="F19" s="14"/>
      <c r="G19" s="14"/>
      <c r="H19" s="14">
        <v>2000</v>
      </c>
      <c r="I19" s="14"/>
      <c r="J19" s="14"/>
      <c r="K19" s="14"/>
      <c r="L19" s="14"/>
      <c r="M19" s="40"/>
      <c r="N19" s="3">
        <f t="shared" si="0"/>
        <v>5000</v>
      </c>
    </row>
    <row r="20" spans="1:14" ht="22.5" customHeight="1">
      <c r="A20" s="2" t="s">
        <v>33</v>
      </c>
      <c r="B20" s="14">
        <v>0</v>
      </c>
      <c r="C20" s="14">
        <v>0</v>
      </c>
      <c r="D20" s="14">
        <v>0</v>
      </c>
      <c r="E20" s="14">
        <v>0</v>
      </c>
      <c r="F20" s="14">
        <v>0</v>
      </c>
      <c r="G20" s="14">
        <v>0</v>
      </c>
      <c r="H20" s="14">
        <v>0</v>
      </c>
      <c r="I20" s="14">
        <v>0</v>
      </c>
      <c r="J20" s="14">
        <v>0</v>
      </c>
      <c r="K20" s="14">
        <v>0</v>
      </c>
      <c r="L20" s="14">
        <v>0</v>
      </c>
      <c r="M20" s="40">
        <v>0</v>
      </c>
      <c r="N20" s="3">
        <f t="shared" si="0"/>
        <v>0</v>
      </c>
    </row>
    <row r="21" spans="1:14" ht="22.5" customHeight="1">
      <c r="A21" s="2" t="s">
        <v>67</v>
      </c>
      <c r="B21" s="14">
        <v>0</v>
      </c>
      <c r="C21" s="14">
        <v>0</v>
      </c>
      <c r="D21" s="14">
        <v>0</v>
      </c>
      <c r="E21" s="14">
        <v>0</v>
      </c>
      <c r="F21" s="14">
        <v>0</v>
      </c>
      <c r="G21" s="14">
        <v>0</v>
      </c>
      <c r="H21" s="14">
        <v>0</v>
      </c>
      <c r="I21" s="14">
        <v>0</v>
      </c>
      <c r="J21" s="14">
        <v>0</v>
      </c>
      <c r="K21" s="14">
        <v>0</v>
      </c>
      <c r="L21" s="14">
        <v>0</v>
      </c>
      <c r="M21" s="40">
        <v>0</v>
      </c>
      <c r="N21" s="3">
        <f t="shared" si="0"/>
        <v>0</v>
      </c>
    </row>
    <row r="22" spans="1:14" ht="22.5" customHeight="1">
      <c r="A22" s="2" t="s">
        <v>37</v>
      </c>
      <c r="B22" s="14">
        <v>0</v>
      </c>
      <c r="C22" s="14">
        <v>0</v>
      </c>
      <c r="D22" s="14">
        <v>0</v>
      </c>
      <c r="E22" s="14">
        <v>0</v>
      </c>
      <c r="F22" s="14">
        <v>0</v>
      </c>
      <c r="G22" s="14">
        <v>0</v>
      </c>
      <c r="H22" s="14">
        <v>0</v>
      </c>
      <c r="I22" s="14">
        <v>0</v>
      </c>
      <c r="J22" s="14">
        <v>0</v>
      </c>
      <c r="K22" s="14">
        <v>0</v>
      </c>
      <c r="L22" s="14">
        <v>0</v>
      </c>
      <c r="M22" s="40">
        <v>0</v>
      </c>
      <c r="N22" s="3">
        <f t="shared" si="0"/>
        <v>0</v>
      </c>
    </row>
    <row r="23" spans="1:14" ht="22.5" customHeight="1">
      <c r="A23" s="2" t="s">
        <v>39</v>
      </c>
      <c r="B23" s="14">
        <v>0</v>
      </c>
      <c r="C23" s="14">
        <v>0</v>
      </c>
      <c r="D23" s="14">
        <v>0</v>
      </c>
      <c r="E23" s="14">
        <v>0</v>
      </c>
      <c r="F23" s="14">
        <v>0</v>
      </c>
      <c r="G23" s="14">
        <v>0</v>
      </c>
      <c r="H23" s="14">
        <v>0</v>
      </c>
      <c r="I23" s="14">
        <v>0</v>
      </c>
      <c r="J23" s="14">
        <v>0</v>
      </c>
      <c r="K23" s="14">
        <v>0</v>
      </c>
      <c r="L23" s="14">
        <v>0</v>
      </c>
      <c r="M23" s="40">
        <v>0</v>
      </c>
      <c r="N23" s="3">
        <f t="shared" si="0"/>
        <v>0</v>
      </c>
    </row>
    <row r="24" spans="1:14" ht="22.5" customHeight="1">
      <c r="A24" s="43" t="s">
        <v>149</v>
      </c>
      <c r="B24" s="14">
        <v>1612</v>
      </c>
      <c r="C24" s="14"/>
      <c r="D24" s="14">
        <v>402</v>
      </c>
      <c r="E24" s="14">
        <v>11458</v>
      </c>
      <c r="F24" s="14"/>
      <c r="G24" s="14">
        <v>2018</v>
      </c>
      <c r="H24" s="14"/>
      <c r="I24" s="14"/>
      <c r="J24" s="14">
        <v>2135</v>
      </c>
      <c r="K24" s="14"/>
      <c r="L24" s="14"/>
      <c r="M24" s="40">
        <f>1563+800</f>
        <v>2363</v>
      </c>
      <c r="N24" s="3">
        <f t="shared" si="0"/>
        <v>19988</v>
      </c>
    </row>
    <row r="25" spans="1:14" ht="22.5" customHeight="1">
      <c r="A25" s="44" t="s">
        <v>55</v>
      </c>
      <c r="B25" s="3">
        <f t="shared" ref="B25:N25" si="1">SUM(B2:B24)</f>
        <v>17112</v>
      </c>
      <c r="C25" s="3">
        <f t="shared" si="1"/>
        <v>6000</v>
      </c>
      <c r="D25" s="3">
        <f t="shared" si="1"/>
        <v>9902</v>
      </c>
      <c r="E25" s="3">
        <f t="shared" si="1"/>
        <v>17958</v>
      </c>
      <c r="F25" s="3">
        <f t="shared" si="1"/>
        <v>6500</v>
      </c>
      <c r="G25" s="3">
        <f t="shared" si="1"/>
        <v>11518</v>
      </c>
      <c r="H25" s="3">
        <f t="shared" si="1"/>
        <v>8500</v>
      </c>
      <c r="I25" s="3">
        <f t="shared" si="1"/>
        <v>5500</v>
      </c>
      <c r="J25" s="3">
        <f t="shared" si="1"/>
        <v>7635</v>
      </c>
      <c r="K25" s="3">
        <f t="shared" si="1"/>
        <v>10000</v>
      </c>
      <c r="L25" s="3">
        <f t="shared" si="1"/>
        <v>3500</v>
      </c>
      <c r="M25" s="3">
        <f t="shared" si="1"/>
        <v>9863</v>
      </c>
      <c r="N25" s="3">
        <f t="shared" si="1"/>
        <v>113988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25"/>
  <sheetViews>
    <sheetView workbookViewId="0">
      <pane ySplit="1" topLeftCell="A2" activePane="bottomLeft" state="frozen"/>
      <selection pane="bottomLeft" activeCell="B3" sqref="B3"/>
    </sheetView>
  </sheetViews>
  <sheetFormatPr baseColWidth="10" defaultColWidth="12.6640625" defaultRowHeight="15.75" customHeight="1"/>
  <cols>
    <col min="1" max="1" width="20.1640625" customWidth="1"/>
    <col min="2" max="3" width="8.5" customWidth="1"/>
    <col min="4" max="4" width="9.1640625" customWidth="1"/>
    <col min="5" max="5" width="8.6640625" customWidth="1"/>
    <col min="6" max="6" width="9.1640625" customWidth="1"/>
    <col min="7" max="7" width="9.6640625" customWidth="1"/>
    <col min="8" max="8" width="9.33203125" customWidth="1"/>
    <col min="9" max="9" width="9.1640625" customWidth="1"/>
    <col min="10" max="10" width="8.33203125" customWidth="1"/>
    <col min="11" max="11" width="8.83203125" customWidth="1"/>
    <col min="12" max="12" width="9.1640625" customWidth="1"/>
    <col min="13" max="14" width="8.83203125" customWidth="1"/>
  </cols>
  <sheetData>
    <row r="1" spans="1:14" ht="22.5" customHeight="1">
      <c r="A1" s="1" t="s">
        <v>54</v>
      </c>
      <c r="B1" s="39" t="s">
        <v>137</v>
      </c>
      <c r="C1" s="39" t="s">
        <v>138</v>
      </c>
      <c r="D1" s="39" t="s">
        <v>139</v>
      </c>
      <c r="E1" s="39" t="s">
        <v>140</v>
      </c>
      <c r="F1" s="39" t="s">
        <v>141</v>
      </c>
      <c r="G1" s="39" t="s">
        <v>142</v>
      </c>
      <c r="H1" s="39" t="s">
        <v>143</v>
      </c>
      <c r="I1" s="39" t="s">
        <v>144</v>
      </c>
      <c r="J1" s="39" t="s">
        <v>145</v>
      </c>
      <c r="K1" s="39" t="s">
        <v>146</v>
      </c>
      <c r="L1" s="39" t="s">
        <v>147</v>
      </c>
      <c r="M1" s="39" t="s">
        <v>148</v>
      </c>
      <c r="N1" s="39" t="s">
        <v>55</v>
      </c>
    </row>
    <row r="2" spans="1:14" ht="22.5" customHeight="1">
      <c r="A2" s="2" t="s">
        <v>2</v>
      </c>
      <c r="B2" s="40">
        <v>2000</v>
      </c>
      <c r="C2" s="40">
        <v>500</v>
      </c>
      <c r="D2" s="40">
        <v>500</v>
      </c>
      <c r="E2" s="40">
        <v>1000</v>
      </c>
      <c r="F2" s="40">
        <v>500</v>
      </c>
      <c r="G2" s="40">
        <v>500</v>
      </c>
      <c r="H2" s="40">
        <v>500</v>
      </c>
      <c r="I2" s="14"/>
      <c r="J2" s="40">
        <v>2000</v>
      </c>
      <c r="K2" s="14"/>
      <c r="L2" s="40">
        <v>500</v>
      </c>
      <c r="M2" s="40">
        <v>500</v>
      </c>
      <c r="N2" s="3">
        <f t="shared" ref="N2:N24" si="0">SUM(B2:M2)</f>
        <v>8500</v>
      </c>
    </row>
    <row r="3" spans="1:14" ht="22.5" customHeight="1">
      <c r="A3" s="2" t="s">
        <v>3</v>
      </c>
      <c r="B3" s="40">
        <v>500</v>
      </c>
      <c r="C3" s="40">
        <v>500</v>
      </c>
      <c r="D3" s="40">
        <v>500</v>
      </c>
      <c r="E3" s="40">
        <v>500</v>
      </c>
      <c r="F3" s="40">
        <v>500</v>
      </c>
      <c r="G3" s="40">
        <v>500</v>
      </c>
      <c r="H3" s="40">
        <v>500</v>
      </c>
      <c r="I3" s="40">
        <v>500</v>
      </c>
      <c r="J3" s="40">
        <v>500</v>
      </c>
      <c r="K3" s="40">
        <v>500</v>
      </c>
      <c r="L3" s="40">
        <v>500</v>
      </c>
      <c r="M3" s="40">
        <v>500</v>
      </c>
      <c r="N3" s="3">
        <f t="shared" si="0"/>
        <v>6000</v>
      </c>
    </row>
    <row r="4" spans="1:14" ht="22.5" customHeight="1">
      <c r="A4" s="5" t="s">
        <v>5</v>
      </c>
      <c r="B4" s="14"/>
      <c r="C4" s="14"/>
      <c r="D4" s="40">
        <v>2000</v>
      </c>
      <c r="E4" s="14"/>
      <c r="F4" s="14"/>
      <c r="G4" s="40">
        <v>2000</v>
      </c>
      <c r="H4" s="14"/>
      <c r="I4" s="14"/>
      <c r="J4" s="14"/>
      <c r="K4" s="40">
        <v>1000</v>
      </c>
      <c r="L4" s="40">
        <v>500</v>
      </c>
      <c r="M4" s="40">
        <v>500</v>
      </c>
      <c r="N4" s="3">
        <f t="shared" si="0"/>
        <v>6000</v>
      </c>
    </row>
    <row r="5" spans="1:14" ht="22.5" customHeight="1">
      <c r="A5" s="2" t="s">
        <v>7</v>
      </c>
      <c r="B5" s="40">
        <v>1500</v>
      </c>
      <c r="C5" s="40">
        <v>1000</v>
      </c>
      <c r="D5" s="40">
        <v>500</v>
      </c>
      <c r="E5" s="40">
        <v>1000</v>
      </c>
      <c r="F5" s="40">
        <v>1000</v>
      </c>
      <c r="G5" s="40">
        <v>1000</v>
      </c>
      <c r="H5" s="40">
        <v>1000</v>
      </c>
      <c r="I5" s="40">
        <v>1000</v>
      </c>
      <c r="J5" s="40">
        <v>1000</v>
      </c>
      <c r="K5" s="40">
        <v>1000</v>
      </c>
      <c r="L5" s="40">
        <v>1000</v>
      </c>
      <c r="M5" s="40"/>
      <c r="N5" s="3">
        <f t="shared" si="0"/>
        <v>11000</v>
      </c>
    </row>
    <row r="6" spans="1:14" ht="22.5" customHeight="1">
      <c r="A6" s="5" t="s">
        <v>9</v>
      </c>
      <c r="B6" s="14"/>
      <c r="C6" s="14"/>
      <c r="D6" s="40">
        <v>3000</v>
      </c>
      <c r="E6" s="14"/>
      <c r="F6" s="14"/>
      <c r="G6" s="14"/>
      <c r="H6" s="14"/>
      <c r="I6" s="14"/>
      <c r="J6" s="14"/>
      <c r="K6" s="14"/>
      <c r="L6" s="14"/>
      <c r="M6" s="14"/>
      <c r="N6" s="3">
        <f t="shared" si="0"/>
        <v>3000</v>
      </c>
    </row>
    <row r="7" spans="1:14" ht="22.5" customHeight="1">
      <c r="A7" s="5" t="s">
        <v>10</v>
      </c>
      <c r="B7" s="14"/>
      <c r="C7" s="40">
        <v>2500</v>
      </c>
      <c r="D7" s="14"/>
      <c r="E7" s="14"/>
      <c r="F7" s="14"/>
      <c r="G7" s="14"/>
      <c r="H7" s="40">
        <v>3000</v>
      </c>
      <c r="I7" s="14"/>
      <c r="J7" s="40">
        <v>500</v>
      </c>
      <c r="K7" s="40">
        <v>1000</v>
      </c>
      <c r="L7" s="40">
        <v>2000</v>
      </c>
      <c r="M7" s="14"/>
      <c r="N7" s="3">
        <f t="shared" si="0"/>
        <v>9000</v>
      </c>
    </row>
    <row r="8" spans="1:14" ht="22.5" customHeight="1">
      <c r="A8" s="2" t="s">
        <v>12</v>
      </c>
      <c r="B8" s="40">
        <v>500</v>
      </c>
      <c r="C8" s="40">
        <v>500</v>
      </c>
      <c r="D8" s="40">
        <v>500</v>
      </c>
      <c r="E8" s="40">
        <v>500</v>
      </c>
      <c r="F8" s="40">
        <v>500</v>
      </c>
      <c r="G8" s="40">
        <v>500</v>
      </c>
      <c r="H8" s="40">
        <v>500</v>
      </c>
      <c r="I8" s="14"/>
      <c r="J8" s="14"/>
      <c r="K8" s="14"/>
      <c r="L8" s="14"/>
      <c r="M8" s="14"/>
      <c r="N8" s="3">
        <f t="shared" si="0"/>
        <v>3500</v>
      </c>
    </row>
    <row r="9" spans="1:14" ht="22.5" customHeight="1">
      <c r="A9" s="2" t="s">
        <v>14</v>
      </c>
      <c r="B9" s="40">
        <v>500</v>
      </c>
      <c r="C9" s="40">
        <v>500</v>
      </c>
      <c r="D9" s="40">
        <v>500</v>
      </c>
      <c r="E9" s="40">
        <v>500</v>
      </c>
      <c r="F9" s="40">
        <v>550</v>
      </c>
      <c r="G9" s="40">
        <v>500</v>
      </c>
      <c r="H9" s="40">
        <v>500</v>
      </c>
      <c r="I9" s="40">
        <v>500</v>
      </c>
      <c r="J9" s="14"/>
      <c r="K9" s="40">
        <v>1000</v>
      </c>
      <c r="L9" s="14"/>
      <c r="M9" s="40">
        <v>1000</v>
      </c>
      <c r="N9" s="3">
        <f t="shared" si="0"/>
        <v>6050</v>
      </c>
    </row>
    <row r="10" spans="1:14" ht="22.5" customHeight="1">
      <c r="A10" s="2" t="s">
        <v>16</v>
      </c>
      <c r="B10" s="14"/>
      <c r="C10" s="14"/>
      <c r="D10" s="14"/>
      <c r="E10" s="40">
        <v>1000</v>
      </c>
      <c r="F10" s="14"/>
      <c r="G10" s="14"/>
      <c r="H10" s="14"/>
      <c r="I10" s="14"/>
      <c r="J10" s="14"/>
      <c r="K10" s="40">
        <v>1000</v>
      </c>
      <c r="L10" s="40">
        <v>2000</v>
      </c>
      <c r="M10" s="14"/>
      <c r="N10" s="3">
        <f t="shared" si="0"/>
        <v>4000</v>
      </c>
    </row>
    <row r="11" spans="1:14" ht="22.5" customHeight="1">
      <c r="A11" s="5" t="s">
        <v>18</v>
      </c>
      <c r="B11" s="40">
        <v>1000</v>
      </c>
      <c r="C11" s="14"/>
      <c r="D11" s="40">
        <v>500</v>
      </c>
      <c r="E11" s="40">
        <v>500</v>
      </c>
      <c r="F11" s="14"/>
      <c r="G11" s="40">
        <v>1500</v>
      </c>
      <c r="H11" s="14"/>
      <c r="I11" s="40">
        <v>1000</v>
      </c>
      <c r="J11" s="14"/>
      <c r="K11" s="40">
        <v>500</v>
      </c>
      <c r="L11" s="40">
        <v>500</v>
      </c>
      <c r="M11" s="40">
        <v>500</v>
      </c>
      <c r="N11" s="3">
        <f t="shared" si="0"/>
        <v>6000</v>
      </c>
    </row>
    <row r="12" spans="1:14" ht="22.5" customHeight="1">
      <c r="A12" s="5" t="s">
        <v>20</v>
      </c>
      <c r="B12" s="40">
        <v>500</v>
      </c>
      <c r="C12" s="40">
        <v>500</v>
      </c>
      <c r="D12" s="40">
        <v>500</v>
      </c>
      <c r="E12" s="40">
        <v>500</v>
      </c>
      <c r="F12" s="40">
        <v>500</v>
      </c>
      <c r="G12" s="40">
        <v>500</v>
      </c>
      <c r="H12" s="40">
        <v>500</v>
      </c>
      <c r="I12" s="40">
        <v>1000</v>
      </c>
      <c r="J12" s="14"/>
      <c r="K12" s="40">
        <v>1000</v>
      </c>
      <c r="L12" s="14"/>
      <c r="M12" s="14">
        <v>500</v>
      </c>
      <c r="N12" s="3">
        <f t="shared" si="0"/>
        <v>6000</v>
      </c>
    </row>
    <row r="13" spans="1:14" ht="22.5" customHeight="1">
      <c r="A13" s="5" t="s">
        <v>22</v>
      </c>
      <c r="B13" s="40">
        <v>500</v>
      </c>
      <c r="C13" s="40">
        <v>500</v>
      </c>
      <c r="D13" s="40">
        <v>500</v>
      </c>
      <c r="E13" s="40">
        <v>500</v>
      </c>
      <c r="F13" s="40">
        <v>500</v>
      </c>
      <c r="G13" s="40">
        <v>500</v>
      </c>
      <c r="H13" s="40">
        <v>500</v>
      </c>
      <c r="I13" s="40">
        <v>500</v>
      </c>
      <c r="J13" s="40">
        <v>500</v>
      </c>
      <c r="K13" s="40">
        <v>500</v>
      </c>
      <c r="L13" s="40">
        <v>500</v>
      </c>
      <c r="M13" s="40">
        <v>500</v>
      </c>
      <c r="N13" s="3">
        <f t="shared" si="0"/>
        <v>6000</v>
      </c>
    </row>
    <row r="14" spans="1:14" ht="22.5" customHeight="1">
      <c r="A14" s="5" t="s">
        <v>24</v>
      </c>
      <c r="B14" s="40">
        <v>1000</v>
      </c>
      <c r="C14" s="40">
        <v>500</v>
      </c>
      <c r="D14" s="40">
        <v>500</v>
      </c>
      <c r="E14" s="40">
        <v>500</v>
      </c>
      <c r="F14" s="14"/>
      <c r="G14" s="40">
        <v>1500</v>
      </c>
      <c r="H14" s="14"/>
      <c r="I14" s="40">
        <v>1000</v>
      </c>
      <c r="J14" s="14"/>
      <c r="K14" s="40">
        <v>500</v>
      </c>
      <c r="L14" s="40">
        <v>500</v>
      </c>
      <c r="M14" s="40">
        <v>500</v>
      </c>
      <c r="N14" s="3">
        <f t="shared" si="0"/>
        <v>6500</v>
      </c>
    </row>
    <row r="15" spans="1:14" ht="22.5" customHeight="1">
      <c r="A15" s="5" t="s">
        <v>25</v>
      </c>
      <c r="B15" s="40">
        <v>1000</v>
      </c>
      <c r="C15" s="40">
        <v>1000</v>
      </c>
      <c r="D15" s="14"/>
      <c r="E15" s="14"/>
      <c r="F15" s="14"/>
      <c r="G15" s="14"/>
      <c r="H15" s="40">
        <v>2000</v>
      </c>
      <c r="I15" s="14"/>
      <c r="J15" s="14"/>
      <c r="K15" s="14"/>
      <c r="L15" s="40">
        <v>2000</v>
      </c>
      <c r="M15" s="14"/>
      <c r="N15" s="3">
        <f t="shared" si="0"/>
        <v>6000</v>
      </c>
    </row>
    <row r="16" spans="1:14" ht="22.5" customHeight="1">
      <c r="A16" s="5" t="s">
        <v>150</v>
      </c>
      <c r="B16" s="40">
        <v>500</v>
      </c>
      <c r="C16" s="40">
        <v>500</v>
      </c>
      <c r="D16" s="40">
        <v>500</v>
      </c>
      <c r="E16" s="40">
        <v>500</v>
      </c>
      <c r="F16" s="40">
        <v>500</v>
      </c>
      <c r="G16" s="40">
        <v>500</v>
      </c>
      <c r="H16" s="40">
        <v>500</v>
      </c>
      <c r="I16" s="40">
        <v>500</v>
      </c>
      <c r="J16" s="40">
        <v>500</v>
      </c>
      <c r="K16" s="40">
        <v>500</v>
      </c>
      <c r="L16" s="40">
        <v>500</v>
      </c>
      <c r="M16" s="40">
        <v>500</v>
      </c>
      <c r="N16" s="3">
        <f t="shared" si="0"/>
        <v>6000</v>
      </c>
    </row>
    <row r="17" spans="1:14" ht="22.5" customHeight="1">
      <c r="A17" s="2" t="s">
        <v>28</v>
      </c>
      <c r="B17" s="40">
        <v>500</v>
      </c>
      <c r="C17" s="14"/>
      <c r="D17" s="14"/>
      <c r="E17" s="14"/>
      <c r="F17" s="14"/>
      <c r="G17" s="40">
        <v>2000</v>
      </c>
      <c r="H17" s="14"/>
      <c r="I17" s="14"/>
      <c r="J17" s="14"/>
      <c r="K17" s="14"/>
      <c r="L17" s="14"/>
      <c r="M17" s="14"/>
      <c r="N17" s="3">
        <f t="shared" si="0"/>
        <v>2500</v>
      </c>
    </row>
    <row r="18" spans="1:14" ht="22.5" customHeight="1">
      <c r="A18" s="2" t="s">
        <v>29</v>
      </c>
      <c r="B18" s="14"/>
      <c r="C18" s="40">
        <v>500</v>
      </c>
      <c r="D18" s="40">
        <v>500</v>
      </c>
      <c r="E18" s="40">
        <v>500</v>
      </c>
      <c r="F18" s="40">
        <v>500</v>
      </c>
      <c r="G18" s="40">
        <v>500</v>
      </c>
      <c r="H18" s="40">
        <v>500</v>
      </c>
      <c r="I18" s="14"/>
      <c r="J18" s="40">
        <v>1000</v>
      </c>
      <c r="K18" s="40">
        <v>500</v>
      </c>
      <c r="L18" s="40">
        <v>500</v>
      </c>
      <c r="M18" s="14">
        <v>500</v>
      </c>
      <c r="N18" s="3">
        <f t="shared" si="0"/>
        <v>5500</v>
      </c>
    </row>
    <row r="19" spans="1:14" ht="22.5" customHeight="1">
      <c r="A19" s="5" t="s">
        <v>31</v>
      </c>
      <c r="B19" s="40">
        <v>1000</v>
      </c>
      <c r="C19" s="40">
        <v>1000</v>
      </c>
      <c r="D19" s="40">
        <v>500</v>
      </c>
      <c r="E19" s="40">
        <v>500</v>
      </c>
      <c r="F19" s="14"/>
      <c r="G19" s="40">
        <v>1000</v>
      </c>
      <c r="H19" s="40">
        <v>1000</v>
      </c>
      <c r="I19" s="14"/>
      <c r="J19" s="40">
        <v>1000</v>
      </c>
      <c r="K19" s="14"/>
      <c r="L19" s="14"/>
      <c r="M19" s="14"/>
      <c r="N19" s="3">
        <f t="shared" si="0"/>
        <v>6000</v>
      </c>
    </row>
    <row r="20" spans="1:14" ht="22.5" customHeight="1">
      <c r="A20" s="2" t="s">
        <v>33</v>
      </c>
      <c r="B20" s="14">
        <v>0</v>
      </c>
      <c r="C20" s="14">
        <v>0</v>
      </c>
      <c r="D20" s="40">
        <v>0</v>
      </c>
      <c r="E20" s="14">
        <v>0</v>
      </c>
      <c r="F20" s="14">
        <v>0</v>
      </c>
      <c r="G20" s="40">
        <v>0</v>
      </c>
      <c r="H20" s="40">
        <v>0</v>
      </c>
      <c r="I20" s="14">
        <v>0</v>
      </c>
      <c r="J20" s="40">
        <v>0</v>
      </c>
      <c r="K20" s="14">
        <v>0</v>
      </c>
      <c r="L20" s="14">
        <v>0</v>
      </c>
      <c r="M20" s="40">
        <v>0</v>
      </c>
      <c r="N20" s="3">
        <f t="shared" si="0"/>
        <v>0</v>
      </c>
    </row>
    <row r="21" spans="1:14" ht="22.5" customHeight="1">
      <c r="A21" s="2" t="s">
        <v>67</v>
      </c>
      <c r="B21" s="14">
        <v>0</v>
      </c>
      <c r="C21" s="14">
        <v>0</v>
      </c>
      <c r="D21" s="40">
        <v>0</v>
      </c>
      <c r="E21" s="14">
        <v>0</v>
      </c>
      <c r="F21" s="14">
        <v>0</v>
      </c>
      <c r="G21" s="40">
        <v>0</v>
      </c>
      <c r="H21" s="40">
        <v>0</v>
      </c>
      <c r="I21" s="14">
        <v>0</v>
      </c>
      <c r="J21" s="40">
        <v>0</v>
      </c>
      <c r="K21" s="14">
        <v>0</v>
      </c>
      <c r="L21" s="14">
        <v>0</v>
      </c>
      <c r="M21" s="40">
        <v>0</v>
      </c>
      <c r="N21" s="3">
        <f t="shared" si="0"/>
        <v>0</v>
      </c>
    </row>
    <row r="22" spans="1:14" ht="22.5" customHeight="1">
      <c r="A22" s="2" t="s">
        <v>37</v>
      </c>
      <c r="B22" s="14">
        <v>0</v>
      </c>
      <c r="C22" s="14">
        <v>0</v>
      </c>
      <c r="D22" s="40">
        <v>0</v>
      </c>
      <c r="E22" s="14">
        <v>0</v>
      </c>
      <c r="F22" s="14">
        <v>0</v>
      </c>
      <c r="G22" s="40">
        <v>0</v>
      </c>
      <c r="H22" s="40">
        <v>0</v>
      </c>
      <c r="I22" s="14">
        <v>0</v>
      </c>
      <c r="J22" s="40">
        <v>0</v>
      </c>
      <c r="K22" s="14">
        <v>0</v>
      </c>
      <c r="L22" s="14">
        <v>0</v>
      </c>
      <c r="M22" s="40">
        <v>0</v>
      </c>
      <c r="N22" s="3">
        <f t="shared" si="0"/>
        <v>0</v>
      </c>
    </row>
    <row r="23" spans="1:14" ht="22.5" customHeight="1">
      <c r="A23" s="2" t="s">
        <v>39</v>
      </c>
      <c r="B23" s="14">
        <v>0</v>
      </c>
      <c r="C23" s="14">
        <v>0</v>
      </c>
      <c r="D23" s="40">
        <v>0</v>
      </c>
      <c r="E23" s="14">
        <v>0</v>
      </c>
      <c r="F23" s="14">
        <v>0</v>
      </c>
      <c r="G23" s="40">
        <v>0</v>
      </c>
      <c r="H23" s="40">
        <v>0</v>
      </c>
      <c r="I23" s="14">
        <v>0</v>
      </c>
      <c r="J23" s="40">
        <v>0</v>
      </c>
      <c r="K23" s="14">
        <v>0</v>
      </c>
      <c r="L23" s="14">
        <v>0</v>
      </c>
      <c r="M23" s="40">
        <v>0</v>
      </c>
      <c r="N23" s="3">
        <f t="shared" si="0"/>
        <v>0</v>
      </c>
    </row>
    <row r="24" spans="1:14" ht="22.5" customHeight="1">
      <c r="A24" s="43" t="s">
        <v>149</v>
      </c>
      <c r="B24" s="14"/>
      <c r="C24" s="14"/>
      <c r="D24" s="40">
        <v>500</v>
      </c>
      <c r="E24" s="14"/>
      <c r="F24" s="14"/>
      <c r="G24" s="40">
        <v>428</v>
      </c>
      <c r="H24" s="40">
        <v>2042</v>
      </c>
      <c r="I24" s="14"/>
      <c r="J24" s="40">
        <v>368</v>
      </c>
      <c r="K24" s="14"/>
      <c r="L24" s="14"/>
      <c r="M24" s="40">
        <v>135</v>
      </c>
      <c r="N24" s="3">
        <f t="shared" si="0"/>
        <v>3473</v>
      </c>
    </row>
    <row r="25" spans="1:14" ht="22.5" customHeight="1">
      <c r="A25" s="3" t="s">
        <v>55</v>
      </c>
      <c r="B25" s="3">
        <f t="shared" ref="B25:N25" si="1">SUM(B2:B24)</f>
        <v>11000</v>
      </c>
      <c r="C25" s="3">
        <f t="shared" si="1"/>
        <v>10000</v>
      </c>
      <c r="D25" s="3">
        <f t="shared" si="1"/>
        <v>11500</v>
      </c>
      <c r="E25" s="3">
        <f t="shared" si="1"/>
        <v>8000</v>
      </c>
      <c r="F25" s="3">
        <f t="shared" si="1"/>
        <v>5050</v>
      </c>
      <c r="G25" s="3">
        <f t="shared" si="1"/>
        <v>13428</v>
      </c>
      <c r="H25" s="3">
        <f t="shared" si="1"/>
        <v>13042</v>
      </c>
      <c r="I25" s="3">
        <f t="shared" si="1"/>
        <v>6000</v>
      </c>
      <c r="J25" s="3">
        <f t="shared" si="1"/>
        <v>7368</v>
      </c>
      <c r="K25" s="3">
        <f t="shared" si="1"/>
        <v>9000</v>
      </c>
      <c r="L25" s="3">
        <f t="shared" si="1"/>
        <v>11000</v>
      </c>
      <c r="M25" s="3">
        <f t="shared" si="1"/>
        <v>5635</v>
      </c>
      <c r="N25" s="3">
        <f t="shared" si="1"/>
        <v>111023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H2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26.5" customWidth="1"/>
    <col min="2" max="2" width="8.1640625" customWidth="1"/>
    <col min="3" max="3" width="8.33203125" customWidth="1"/>
    <col min="4" max="5" width="8.1640625" customWidth="1"/>
    <col min="6" max="6" width="8.5" customWidth="1"/>
    <col min="7" max="7" width="8.33203125" customWidth="1"/>
    <col min="8" max="8" width="13.33203125" customWidth="1"/>
  </cols>
  <sheetData>
    <row r="1" spans="1:8" ht="22.5" customHeight="1">
      <c r="A1" s="1" t="s">
        <v>54</v>
      </c>
      <c r="B1" s="13" t="s">
        <v>121</v>
      </c>
      <c r="C1" s="13" t="s">
        <v>122</v>
      </c>
      <c r="D1" s="13" t="s">
        <v>123</v>
      </c>
      <c r="E1" s="13" t="s">
        <v>124</v>
      </c>
      <c r="F1" s="13" t="s">
        <v>125</v>
      </c>
      <c r="G1" s="13" t="s">
        <v>126</v>
      </c>
      <c r="H1" s="1" t="s">
        <v>151</v>
      </c>
    </row>
    <row r="2" spans="1:8" ht="22.5" customHeight="1">
      <c r="A2" s="2" t="s">
        <v>2</v>
      </c>
      <c r="B2" s="40">
        <v>2000</v>
      </c>
      <c r="C2" s="14"/>
      <c r="D2" s="14"/>
      <c r="E2" s="40">
        <v>500</v>
      </c>
      <c r="F2" s="40">
        <v>500</v>
      </c>
      <c r="G2" s="40">
        <v>5000</v>
      </c>
      <c r="H2" s="45">
        <f t="shared" ref="H2:H24" si="0">SUM(B2:G2)</f>
        <v>8000</v>
      </c>
    </row>
    <row r="3" spans="1:8" ht="22.5" customHeight="1">
      <c r="A3" s="2" t="s">
        <v>3</v>
      </c>
      <c r="B3" s="14"/>
      <c r="C3" s="40">
        <v>2000</v>
      </c>
      <c r="D3" s="14"/>
      <c r="E3" s="40">
        <v>500</v>
      </c>
      <c r="F3" s="40">
        <v>500</v>
      </c>
      <c r="G3" s="40">
        <v>500</v>
      </c>
      <c r="H3" s="45">
        <f t="shared" si="0"/>
        <v>3500</v>
      </c>
    </row>
    <row r="4" spans="1:8" ht="22.5" customHeight="1">
      <c r="A4" s="2" t="s">
        <v>5</v>
      </c>
      <c r="B4" s="14"/>
      <c r="C4" s="40">
        <v>2000</v>
      </c>
      <c r="D4" s="14"/>
      <c r="E4" s="40">
        <v>500</v>
      </c>
      <c r="F4" s="40">
        <v>500</v>
      </c>
      <c r="G4" s="40">
        <v>500</v>
      </c>
      <c r="H4" s="45">
        <f t="shared" si="0"/>
        <v>3500</v>
      </c>
    </row>
    <row r="5" spans="1:8" ht="22.5" customHeight="1">
      <c r="A5" s="2" t="s">
        <v>7</v>
      </c>
      <c r="B5" s="40">
        <v>1300</v>
      </c>
      <c r="C5" s="40">
        <v>700</v>
      </c>
      <c r="D5" s="40">
        <v>500</v>
      </c>
      <c r="E5" s="14"/>
      <c r="F5" s="40">
        <v>500</v>
      </c>
      <c r="G5" s="40">
        <v>1000</v>
      </c>
      <c r="H5" s="45">
        <f t="shared" si="0"/>
        <v>4000</v>
      </c>
    </row>
    <row r="6" spans="1:8" ht="22.5" customHeight="1">
      <c r="A6" s="2" t="s">
        <v>9</v>
      </c>
      <c r="B6" s="14"/>
      <c r="C6" s="40">
        <v>3000</v>
      </c>
      <c r="D6" s="14"/>
      <c r="E6" s="40">
        <v>3000</v>
      </c>
      <c r="F6" s="14"/>
      <c r="G6" s="14"/>
      <c r="H6" s="45">
        <f t="shared" si="0"/>
        <v>6000</v>
      </c>
    </row>
    <row r="7" spans="1:8" ht="22.5" customHeight="1">
      <c r="A7" s="5" t="s">
        <v>10</v>
      </c>
      <c r="B7" s="14"/>
      <c r="C7" s="14"/>
      <c r="D7" s="40">
        <v>2000</v>
      </c>
      <c r="E7" s="40">
        <v>500</v>
      </c>
      <c r="F7" s="14"/>
      <c r="G7" s="40">
        <v>2000</v>
      </c>
      <c r="H7" s="45">
        <f t="shared" si="0"/>
        <v>4500</v>
      </c>
    </row>
    <row r="8" spans="1:8" ht="22.5" customHeight="1">
      <c r="A8" s="2" t="s">
        <v>12</v>
      </c>
      <c r="B8" s="14"/>
      <c r="C8" s="40">
        <v>2000</v>
      </c>
      <c r="D8" s="14"/>
      <c r="E8" s="40">
        <v>500</v>
      </c>
      <c r="F8" s="40">
        <v>2000</v>
      </c>
      <c r="G8" s="40">
        <v>500</v>
      </c>
      <c r="H8" s="45">
        <f t="shared" si="0"/>
        <v>5000</v>
      </c>
    </row>
    <row r="9" spans="1:8" ht="22.5" customHeight="1">
      <c r="A9" s="2" t="s">
        <v>14</v>
      </c>
      <c r="B9" s="40">
        <v>200</v>
      </c>
      <c r="C9" s="14"/>
      <c r="D9" s="14"/>
      <c r="E9" s="40">
        <v>2300</v>
      </c>
      <c r="F9" s="40">
        <v>500</v>
      </c>
      <c r="G9" s="40">
        <v>500</v>
      </c>
      <c r="H9" s="45">
        <f t="shared" si="0"/>
        <v>3500</v>
      </c>
    </row>
    <row r="10" spans="1:8" ht="22.5" customHeight="1">
      <c r="A10" s="2" t="s">
        <v>16</v>
      </c>
      <c r="B10" s="14"/>
      <c r="C10" s="40">
        <v>2000</v>
      </c>
      <c r="D10" s="14"/>
      <c r="E10" s="14"/>
      <c r="F10" s="14"/>
      <c r="G10" s="40">
        <v>2000</v>
      </c>
      <c r="H10" s="45">
        <f t="shared" si="0"/>
        <v>4000</v>
      </c>
    </row>
    <row r="11" spans="1:8" ht="22.5" customHeight="1">
      <c r="A11" s="2" t="s">
        <v>18</v>
      </c>
      <c r="B11" s="40">
        <v>2000</v>
      </c>
      <c r="C11" s="14"/>
      <c r="D11" s="14"/>
      <c r="E11" s="40">
        <v>500</v>
      </c>
      <c r="F11" s="40">
        <v>500</v>
      </c>
      <c r="G11" s="40">
        <v>500</v>
      </c>
      <c r="H11" s="45">
        <f t="shared" si="0"/>
        <v>3500</v>
      </c>
    </row>
    <row r="12" spans="1:8" ht="22.5" customHeight="1">
      <c r="A12" s="2" t="s">
        <v>20</v>
      </c>
      <c r="B12" s="40">
        <v>2000</v>
      </c>
      <c r="C12" s="14"/>
      <c r="D12" s="14"/>
      <c r="E12" s="40">
        <v>500</v>
      </c>
      <c r="F12" s="40">
        <v>500</v>
      </c>
      <c r="G12" s="40">
        <v>500</v>
      </c>
      <c r="H12" s="45">
        <f t="shared" si="0"/>
        <v>3500</v>
      </c>
    </row>
    <row r="13" spans="1:8" ht="22.5" customHeight="1">
      <c r="A13" s="2" t="s">
        <v>22</v>
      </c>
      <c r="B13" s="14"/>
      <c r="C13" s="14"/>
      <c r="D13" s="40">
        <v>2000</v>
      </c>
      <c r="E13" s="40">
        <v>500</v>
      </c>
      <c r="F13" s="40">
        <v>500</v>
      </c>
      <c r="G13" s="40">
        <v>500</v>
      </c>
      <c r="H13" s="45">
        <f t="shared" si="0"/>
        <v>3500</v>
      </c>
    </row>
    <row r="14" spans="1:8" ht="22.5" customHeight="1">
      <c r="A14" s="2" t="s">
        <v>24</v>
      </c>
      <c r="B14" s="14"/>
      <c r="C14" s="14"/>
      <c r="D14" s="14"/>
      <c r="E14" s="40">
        <v>3500</v>
      </c>
      <c r="F14" s="40">
        <v>500</v>
      </c>
      <c r="G14" s="14"/>
      <c r="H14" s="45">
        <f t="shared" si="0"/>
        <v>4000</v>
      </c>
    </row>
    <row r="15" spans="1:8" ht="22.5" customHeight="1">
      <c r="A15" s="2" t="s">
        <v>25</v>
      </c>
      <c r="B15" s="40">
        <v>2000</v>
      </c>
      <c r="C15" s="14"/>
      <c r="D15" s="14"/>
      <c r="E15" s="14"/>
      <c r="F15" s="40">
        <v>1000</v>
      </c>
      <c r="G15" s="14"/>
      <c r="H15" s="45">
        <f t="shared" si="0"/>
        <v>3000</v>
      </c>
    </row>
    <row r="16" spans="1:8" ht="22.5" customHeight="1">
      <c r="A16" s="2" t="s">
        <v>26</v>
      </c>
      <c r="B16" s="14"/>
      <c r="C16" s="40">
        <v>2000</v>
      </c>
      <c r="D16" s="14"/>
      <c r="E16" s="40">
        <v>500</v>
      </c>
      <c r="F16" s="40">
        <v>500</v>
      </c>
      <c r="G16" s="40">
        <v>500</v>
      </c>
      <c r="H16" s="45">
        <f t="shared" si="0"/>
        <v>3500</v>
      </c>
    </row>
    <row r="17" spans="1:8" ht="22.5" customHeight="1">
      <c r="A17" s="2" t="s">
        <v>28</v>
      </c>
      <c r="B17" s="14"/>
      <c r="C17" s="14"/>
      <c r="D17" s="40">
        <v>2500</v>
      </c>
      <c r="E17" s="14"/>
      <c r="F17" s="40">
        <v>1000</v>
      </c>
      <c r="G17" s="14"/>
      <c r="H17" s="45">
        <f t="shared" si="0"/>
        <v>3500</v>
      </c>
    </row>
    <row r="18" spans="1:8" ht="22.5" customHeight="1">
      <c r="A18" s="2" t="s">
        <v>29</v>
      </c>
      <c r="B18" s="14"/>
      <c r="C18" s="40">
        <v>2000</v>
      </c>
      <c r="D18" s="14"/>
      <c r="E18" s="40">
        <v>2000</v>
      </c>
      <c r="F18" s="14"/>
      <c r="G18" s="14"/>
      <c r="H18" s="45">
        <f t="shared" si="0"/>
        <v>4000</v>
      </c>
    </row>
    <row r="19" spans="1:8" ht="22.5" customHeight="1">
      <c r="A19" s="2" t="s">
        <v>31</v>
      </c>
      <c r="B19" s="14"/>
      <c r="C19" s="14"/>
      <c r="D19" s="14"/>
      <c r="E19" s="40">
        <v>2500</v>
      </c>
      <c r="F19" s="40">
        <v>500</v>
      </c>
      <c r="G19" s="40">
        <v>500</v>
      </c>
      <c r="H19" s="45">
        <f t="shared" si="0"/>
        <v>3500</v>
      </c>
    </row>
    <row r="20" spans="1:8" ht="22.5" customHeight="1">
      <c r="A20" s="2" t="s">
        <v>33</v>
      </c>
      <c r="B20" s="40">
        <v>0</v>
      </c>
      <c r="C20" s="14">
        <v>0</v>
      </c>
      <c r="D20" s="14">
        <v>0</v>
      </c>
      <c r="E20" s="40">
        <v>0</v>
      </c>
      <c r="F20" s="14">
        <v>0</v>
      </c>
      <c r="G20" s="40">
        <v>0</v>
      </c>
      <c r="H20" s="45">
        <f t="shared" si="0"/>
        <v>0</v>
      </c>
    </row>
    <row r="21" spans="1:8" ht="22.5" customHeight="1">
      <c r="A21" s="2" t="s">
        <v>67</v>
      </c>
      <c r="B21" s="40">
        <v>0</v>
      </c>
      <c r="C21" s="14">
        <v>0</v>
      </c>
      <c r="D21" s="14">
        <v>0</v>
      </c>
      <c r="E21" s="40">
        <v>0</v>
      </c>
      <c r="F21" s="14">
        <v>0</v>
      </c>
      <c r="G21" s="40">
        <v>0</v>
      </c>
      <c r="H21" s="45">
        <f t="shared" si="0"/>
        <v>0</v>
      </c>
    </row>
    <row r="22" spans="1:8" ht="22.5" customHeight="1">
      <c r="A22" s="2" t="s">
        <v>37</v>
      </c>
      <c r="B22" s="40">
        <v>0</v>
      </c>
      <c r="C22" s="14">
        <v>0</v>
      </c>
      <c r="D22" s="14">
        <v>0</v>
      </c>
      <c r="E22" s="40">
        <v>0</v>
      </c>
      <c r="F22" s="14">
        <v>0</v>
      </c>
      <c r="G22" s="40">
        <v>0</v>
      </c>
      <c r="H22" s="45">
        <f t="shared" si="0"/>
        <v>0</v>
      </c>
    </row>
    <row r="23" spans="1:8" ht="22.5" customHeight="1">
      <c r="A23" s="2" t="s">
        <v>39</v>
      </c>
      <c r="B23" s="40">
        <v>0</v>
      </c>
      <c r="C23" s="14">
        <v>0</v>
      </c>
      <c r="D23" s="14">
        <v>0</v>
      </c>
      <c r="E23" s="40">
        <v>0</v>
      </c>
      <c r="F23" s="14">
        <v>0</v>
      </c>
      <c r="G23" s="40">
        <v>0</v>
      </c>
      <c r="H23" s="45">
        <f t="shared" si="0"/>
        <v>0</v>
      </c>
    </row>
    <row r="24" spans="1:8" ht="22.5" customHeight="1">
      <c r="A24" s="17" t="s">
        <v>149</v>
      </c>
      <c r="B24" s="40">
        <v>9</v>
      </c>
      <c r="C24" s="14"/>
      <c r="D24" s="14"/>
      <c r="E24" s="40">
        <v>311</v>
      </c>
      <c r="F24" s="14"/>
      <c r="G24" s="40">
        <v>384</v>
      </c>
      <c r="H24" s="45">
        <f t="shared" si="0"/>
        <v>704</v>
      </c>
    </row>
    <row r="25" spans="1:8" ht="22.5" customHeight="1">
      <c r="A25" s="18" t="s">
        <v>55</v>
      </c>
      <c r="B25" s="46"/>
      <c r="C25" s="46"/>
      <c r="D25" s="46"/>
      <c r="E25" s="46"/>
      <c r="F25" s="46"/>
      <c r="G25" s="47"/>
      <c r="H25" s="48">
        <f>SUM(H2:H24)</f>
        <v>74704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S33"/>
  <sheetViews>
    <sheetView workbookViewId="0"/>
  </sheetViews>
  <sheetFormatPr baseColWidth="10" defaultColWidth="12.6640625" defaultRowHeight="15.75" customHeight="1"/>
  <cols>
    <col min="2" max="2" width="73" customWidth="1"/>
    <col min="3" max="3" width="20.83203125" customWidth="1"/>
    <col min="4" max="4" width="18.1640625" customWidth="1"/>
  </cols>
  <sheetData>
    <row r="1" spans="1:19" ht="15.75" customHeight="1">
      <c r="A1" s="20" t="s">
        <v>100</v>
      </c>
      <c r="B1" s="20" t="s">
        <v>153</v>
      </c>
    </row>
    <row r="2" spans="1:19" ht="15.75" customHeight="1">
      <c r="A2" s="51" t="s">
        <v>154</v>
      </c>
      <c r="B2" s="52" t="s">
        <v>155</v>
      </c>
    </row>
    <row r="3" spans="1:19" ht="15.75" customHeight="1">
      <c r="A3" s="51" t="s">
        <v>156</v>
      </c>
      <c r="B3" s="50" t="s">
        <v>157</v>
      </c>
    </row>
    <row r="5" spans="1:19" ht="15.75" customHeight="1">
      <c r="A5" s="53" t="s">
        <v>158</v>
      </c>
      <c r="B5" s="52" t="s">
        <v>159</v>
      </c>
      <c r="C5" s="54"/>
    </row>
    <row r="6" spans="1:19" ht="15.75" customHeight="1">
      <c r="A6" s="54"/>
      <c r="C6" s="54"/>
    </row>
    <row r="7" spans="1:19" ht="15.75" customHeight="1">
      <c r="A7" s="54" t="s">
        <v>160</v>
      </c>
      <c r="C7" s="54"/>
      <c r="D7" s="50" t="s">
        <v>152</v>
      </c>
      <c r="E7" s="51" t="s">
        <v>161</v>
      </c>
      <c r="F7" s="50"/>
      <c r="G7" s="50"/>
      <c r="H7" s="50"/>
      <c r="I7" s="50"/>
      <c r="J7" s="50"/>
      <c r="K7" s="50"/>
      <c r="L7" s="50"/>
      <c r="M7" s="50"/>
      <c r="N7" s="50"/>
      <c r="O7" s="50"/>
      <c r="P7" s="50"/>
      <c r="Q7" s="50"/>
      <c r="R7" s="50"/>
      <c r="S7" s="50"/>
    </row>
    <row r="8" spans="1:19" ht="15.75" customHeight="1">
      <c r="A8" s="55" t="s">
        <v>162</v>
      </c>
      <c r="B8" s="51" t="s">
        <v>163</v>
      </c>
      <c r="C8" s="51" t="s">
        <v>164</v>
      </c>
      <c r="D8" s="49" t="s">
        <v>165</v>
      </c>
      <c r="E8" s="50" t="s">
        <v>166</v>
      </c>
      <c r="F8" s="50"/>
      <c r="G8" s="50"/>
      <c r="H8" s="50"/>
      <c r="I8" s="50"/>
      <c r="J8" s="50"/>
      <c r="K8" s="50"/>
      <c r="L8" s="50"/>
      <c r="M8" s="50"/>
      <c r="N8" s="50"/>
      <c r="O8" s="50"/>
      <c r="P8" s="50"/>
      <c r="Q8" s="50"/>
      <c r="R8" s="50"/>
      <c r="S8" s="50"/>
    </row>
    <row r="9" spans="1:19" ht="15.75" customHeight="1">
      <c r="A9" s="50">
        <v>1</v>
      </c>
      <c r="B9" s="50" t="s">
        <v>167</v>
      </c>
      <c r="C9" s="50" t="s">
        <v>168</v>
      </c>
      <c r="D9" s="52" t="s">
        <v>169</v>
      </c>
      <c r="E9" s="50" t="s">
        <v>170</v>
      </c>
      <c r="F9" s="50"/>
      <c r="G9" s="50"/>
      <c r="H9" s="50"/>
      <c r="I9" s="50"/>
      <c r="J9" s="50"/>
      <c r="K9" s="50"/>
      <c r="L9" s="50"/>
      <c r="M9" s="50"/>
      <c r="N9" s="50"/>
      <c r="O9" s="50"/>
      <c r="P9" s="50"/>
      <c r="Q9" s="50"/>
      <c r="R9" s="50"/>
      <c r="S9" s="50"/>
    </row>
    <row r="10" spans="1:19" ht="15.75" customHeight="1">
      <c r="A10" s="50">
        <v>2</v>
      </c>
      <c r="B10" s="52" t="s">
        <v>171</v>
      </c>
      <c r="C10" s="50" t="s">
        <v>168</v>
      </c>
      <c r="D10" s="50" t="s">
        <v>172</v>
      </c>
      <c r="E10" s="50"/>
      <c r="F10" s="50"/>
      <c r="G10" s="50"/>
      <c r="H10" s="50"/>
      <c r="I10" s="50"/>
      <c r="J10" s="50"/>
      <c r="K10" s="50"/>
      <c r="L10" s="50"/>
      <c r="M10" s="50"/>
      <c r="N10" s="50"/>
      <c r="O10" s="50"/>
      <c r="P10" s="50"/>
      <c r="Q10" s="50"/>
      <c r="R10" s="50"/>
      <c r="S10" s="50"/>
    </row>
    <row r="11" spans="1:19" ht="15.75" customHeight="1">
      <c r="A11" s="50">
        <v>3</v>
      </c>
      <c r="B11" s="52" t="s">
        <v>173</v>
      </c>
      <c r="C11" s="50" t="s">
        <v>168</v>
      </c>
      <c r="D11" s="50" t="s">
        <v>172</v>
      </c>
      <c r="E11" s="50"/>
      <c r="F11" s="50"/>
      <c r="G11" s="50"/>
      <c r="H11" s="50"/>
      <c r="I11" s="50"/>
      <c r="J11" s="50"/>
      <c r="K11" s="50"/>
      <c r="L11" s="50"/>
      <c r="M11" s="50"/>
      <c r="N11" s="50"/>
      <c r="O11" s="50"/>
      <c r="P11" s="50"/>
      <c r="Q11" s="50"/>
      <c r="R11" s="50"/>
      <c r="S11" s="50"/>
    </row>
    <row r="12" spans="1:19" ht="15.75" customHeight="1">
      <c r="A12" s="50">
        <v>4</v>
      </c>
      <c r="B12" s="52" t="s">
        <v>174</v>
      </c>
      <c r="C12" s="50" t="s">
        <v>175</v>
      </c>
      <c r="D12" s="50" t="s">
        <v>176</v>
      </c>
      <c r="E12" s="50"/>
      <c r="F12" s="50"/>
      <c r="G12" s="50"/>
      <c r="H12" s="50"/>
      <c r="I12" s="50"/>
      <c r="J12" s="50"/>
      <c r="K12" s="50"/>
      <c r="L12" s="50"/>
      <c r="M12" s="50"/>
      <c r="N12" s="50"/>
      <c r="O12" s="50"/>
      <c r="P12" s="50"/>
      <c r="Q12" s="50"/>
      <c r="R12" s="50"/>
      <c r="S12" s="50"/>
    </row>
    <row r="13" spans="1:19" ht="15.75" customHeight="1">
      <c r="A13" s="50">
        <v>5</v>
      </c>
      <c r="B13" s="52" t="s">
        <v>177</v>
      </c>
      <c r="C13" s="50" t="s">
        <v>168</v>
      </c>
      <c r="D13" s="50" t="s">
        <v>172</v>
      </c>
      <c r="E13" s="50"/>
      <c r="F13" s="50"/>
      <c r="G13" s="50"/>
      <c r="H13" s="50"/>
      <c r="I13" s="50"/>
      <c r="J13" s="50"/>
      <c r="K13" s="50"/>
      <c r="L13" s="50"/>
      <c r="M13" s="50"/>
      <c r="N13" s="50"/>
      <c r="O13" s="50"/>
      <c r="P13" s="50"/>
      <c r="Q13" s="50"/>
      <c r="R13" s="50"/>
      <c r="S13" s="50"/>
    </row>
    <row r="14" spans="1:19" ht="15.75" customHeight="1">
      <c r="A14" s="50">
        <v>6</v>
      </c>
      <c r="B14" s="52" t="s">
        <v>178</v>
      </c>
      <c r="C14" s="50" t="s">
        <v>168</v>
      </c>
      <c r="D14" s="50" t="s">
        <v>176</v>
      </c>
      <c r="E14" s="50"/>
      <c r="F14" s="50"/>
      <c r="G14" s="50"/>
      <c r="H14" s="50"/>
      <c r="I14" s="50"/>
      <c r="J14" s="50"/>
      <c r="K14" s="50"/>
      <c r="L14" s="50"/>
      <c r="M14" s="50"/>
      <c r="N14" s="50"/>
      <c r="O14" s="50"/>
      <c r="P14" s="50"/>
      <c r="Q14" s="50"/>
      <c r="R14" s="50"/>
      <c r="S14" s="50"/>
    </row>
    <row r="15" spans="1:19" ht="15.75" customHeight="1">
      <c r="A15" s="50">
        <v>7</v>
      </c>
      <c r="B15" s="52" t="s">
        <v>179</v>
      </c>
      <c r="C15" s="50" t="s">
        <v>168</v>
      </c>
      <c r="D15" s="56" t="s">
        <v>180</v>
      </c>
      <c r="E15" s="50" t="s">
        <v>181</v>
      </c>
      <c r="F15" s="50"/>
      <c r="G15" s="50"/>
      <c r="H15" s="50"/>
      <c r="I15" s="50"/>
      <c r="J15" s="50"/>
      <c r="K15" s="50"/>
      <c r="L15" s="50"/>
      <c r="M15" s="50"/>
      <c r="N15" s="50"/>
      <c r="O15" s="50"/>
      <c r="P15" s="50"/>
      <c r="Q15" s="50"/>
      <c r="R15" s="50"/>
      <c r="S15" s="50"/>
    </row>
    <row r="16" spans="1:19" ht="15.75" customHeight="1">
      <c r="A16" s="50">
        <v>8</v>
      </c>
      <c r="B16" s="52" t="s">
        <v>182</v>
      </c>
      <c r="C16" s="50" t="s">
        <v>175</v>
      </c>
      <c r="D16" s="50" t="s">
        <v>176</v>
      </c>
      <c r="E16" s="50"/>
      <c r="F16" s="50"/>
      <c r="G16" s="50"/>
      <c r="H16" s="50"/>
      <c r="I16" s="50"/>
      <c r="J16" s="50"/>
      <c r="K16" s="50"/>
      <c r="L16" s="50"/>
      <c r="M16" s="50"/>
      <c r="N16" s="50"/>
      <c r="O16" s="50"/>
      <c r="P16" s="50"/>
      <c r="Q16" s="50"/>
      <c r="R16" s="50"/>
      <c r="S16" s="50"/>
    </row>
    <row r="17" spans="1:19" ht="15.75" customHeight="1">
      <c r="A17" s="52">
        <v>9</v>
      </c>
      <c r="B17" s="52" t="s">
        <v>183</v>
      </c>
      <c r="C17" s="52" t="s">
        <v>168</v>
      </c>
      <c r="D17" s="52" t="s">
        <v>184</v>
      </c>
      <c r="E17" s="50"/>
      <c r="F17" s="50"/>
      <c r="G17" s="50"/>
      <c r="H17" s="50"/>
      <c r="I17" s="50"/>
      <c r="J17" s="50"/>
      <c r="K17" s="50"/>
      <c r="L17" s="50"/>
      <c r="M17" s="50"/>
      <c r="N17" s="50"/>
      <c r="O17" s="50"/>
      <c r="P17" s="50"/>
      <c r="Q17" s="50"/>
      <c r="R17" s="50"/>
      <c r="S17" s="50"/>
    </row>
    <row r="18" spans="1:19" ht="15.75" customHeight="1">
      <c r="A18" s="52">
        <v>10</v>
      </c>
      <c r="B18" s="52" t="s">
        <v>185</v>
      </c>
      <c r="C18" s="52" t="s">
        <v>186</v>
      </c>
      <c r="D18" s="50" t="s">
        <v>176</v>
      </c>
      <c r="E18" s="50"/>
      <c r="F18" s="50"/>
      <c r="G18" s="50"/>
      <c r="H18" s="50"/>
      <c r="I18" s="50"/>
      <c r="J18" s="50"/>
      <c r="K18" s="50"/>
      <c r="L18" s="50"/>
      <c r="M18" s="50"/>
      <c r="N18" s="50"/>
      <c r="O18" s="50"/>
      <c r="P18" s="50"/>
      <c r="Q18" s="50"/>
      <c r="R18" s="50"/>
      <c r="S18" s="50"/>
    </row>
    <row r="24" spans="1:19" ht="15.75" customHeight="1">
      <c r="B24" s="20" t="s">
        <v>187</v>
      </c>
    </row>
    <row r="25" spans="1:19" ht="15.75" customHeight="1">
      <c r="B25" s="20" t="s">
        <v>188</v>
      </c>
    </row>
    <row r="26" spans="1:19" ht="15.75" customHeight="1">
      <c r="B26" s="20" t="s">
        <v>189</v>
      </c>
    </row>
    <row r="27" spans="1:19" ht="15.75" customHeight="1">
      <c r="B27" s="20" t="s">
        <v>190</v>
      </c>
    </row>
    <row r="28" spans="1:19" ht="15.75" customHeight="1">
      <c r="B28" s="20" t="s">
        <v>191</v>
      </c>
    </row>
    <row r="29" spans="1:19" ht="15.75" customHeight="1">
      <c r="B29" s="20" t="s">
        <v>192</v>
      </c>
    </row>
    <row r="30" spans="1:19" ht="15.75" customHeight="1">
      <c r="B30" s="20" t="s">
        <v>193</v>
      </c>
    </row>
    <row r="31" spans="1:19" ht="15.75" customHeight="1">
      <c r="B31" s="20" t="s">
        <v>194</v>
      </c>
    </row>
    <row r="32" spans="1:19" ht="15.75" customHeight="1">
      <c r="B32" s="20" t="s">
        <v>195</v>
      </c>
    </row>
    <row r="33" spans="2:2" ht="15.75" customHeight="1">
      <c r="B33" s="20" t="s">
        <v>196</v>
      </c>
    </row>
  </sheetData>
  <hyperlinks>
    <hyperlink ref="A8" r:id="rId1" xr:uid="{00000000-0004-0000-1100-000000000000}"/>
    <hyperlink ref="D15" r:id="rId2" xr:uid="{00000000-0004-0000-11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Members</vt:lpstr>
      <vt:lpstr>Summary</vt:lpstr>
      <vt:lpstr>Contributions</vt:lpstr>
      <vt:lpstr>Loans</vt:lpstr>
      <vt:lpstr>Donations</vt:lpstr>
      <vt:lpstr>2026</vt:lpstr>
      <vt:lpstr>2025</vt:lpstr>
      <vt:lpstr>2024</vt:lpstr>
      <vt:lpstr>2023</vt:lpstr>
      <vt:lpstr>2022</vt:lpstr>
      <vt:lpstr>2021</vt:lpstr>
      <vt:lpstr>2020</vt:lpstr>
      <vt:lpstr>2019</vt:lpstr>
      <vt:lpstr>2018</vt:lpstr>
      <vt:lpstr>2017</vt:lpstr>
      <vt:lpstr>2016</vt:lpstr>
      <vt:lpstr>New_Resolutions_27-07-20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Paramesh Korrakuti</cp:lastModifiedBy>
  <dcterms:modified xsi:type="dcterms:W3CDTF">2026-05-23T09:59:32Z</dcterms:modified>
</cp:coreProperties>
</file>