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Contributions" sheetId="2" r:id="rId5"/>
    <sheet state="visible" name="Loans" sheetId="3" r:id="rId6"/>
    <sheet state="visible" name="Donations" sheetId="4" r:id="rId7"/>
    <sheet state="visible" name="2026" sheetId="5" r:id="rId8"/>
    <sheet state="visible" name="2025" sheetId="6" r:id="rId9"/>
    <sheet state="visible" name="2024" sheetId="7" r:id="rId10"/>
    <sheet state="visible" name="2023" sheetId="8" r:id="rId11"/>
    <sheet state="visible" name="2022" sheetId="9" r:id="rId12"/>
    <sheet state="visible" name="2021" sheetId="10" r:id="rId13"/>
    <sheet state="visible" name="2020" sheetId="11" r:id="rId14"/>
    <sheet state="visible" name="2019" sheetId="12" r:id="rId15"/>
    <sheet state="visible" name="2018" sheetId="13" r:id="rId16"/>
    <sheet state="visible" name="2017" sheetId="14" r:id="rId17"/>
    <sheet state="visible" name="2016" sheetId="15" r:id="rId18"/>
    <sheet state="visible" name="contributions_old" sheetId="16" r:id="rId19"/>
    <sheet state="visible" name="New_Resolutions_27-07-20" sheetId="17" r:id="rId20"/>
    <sheet state="visible" name="Upto 31-5-2019" sheetId="18"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tc={026a4375-d92a-4ece-b507-f58ac645ae04}</author>
    <author>tc={aa020326-9767-427c-82d6-71ad38cb5167}</author>
  </authors>
  <commentList>
    <comment authorId="0" xr:uid="{026a4375-d92a-4ece-b507-f58ac645ae04}" ref="H2">
      <text>
        <t xml:space="preserve">[Threaded comment]
 Your version of Excel allows you to read this threaded comment; however, any edits to it will get removed if the file is opened in a newer version of Excel. Learn more: https://go.microsoft.com/fwlink/?linkid=870924
Comment:
	As Das is no longer available, we have written off the loan.
</t>
      </text>
    </comment>
    <comment authorId="1" xr:uid="{aa020326-9767-427c-82d6-71ad38cb5167}" ref="E2">
      <text>
        <t xml:space="preserve">[Threaded comment]
 Your version of Excel allows you to read this threaded comment; however, any edits to it will get removed if the file is opened in a newer version of Excel. Learn more: https://go.microsoft.com/fwlink/?linkid=870924
Comment:
	This is an approximate date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tc={0399ee01-b76b-43d0-9e97-3bd222642dbf}</author>
    <author>tc={3d0dfc00-eaba-4302-85bf-debd03d67ce5}</author>
    <author>tc={6f909b84-d2f7-4860-b830-22ae5a9ccc13}</author>
    <author>tc={becf1b4a-376d-439c-8a2e-2f3408f16ad4}</author>
    <author>tc={e19bb667-71f0-43ce-9432-213598f8099a}</author>
  </authors>
  <commentList>
    <comment authorId="0" xr:uid="{0399ee01-b76b-43d0-9e97-3bd222642dbf}" ref="I13">
      <text>
        <t xml:space="preserve">[Threaded comment]
 Your version of Excel allows you to read this threaded comment; however, any edits to it will get removed if the file is opened in a newer version of Excel. Learn more: https://go.microsoft.com/fwlink/?linkid=870924
Comment:
	In this, interest needs to separate out
</t>
      </text>
    </comment>
    <comment authorId="1" xr:uid="{3d0dfc00-eaba-4302-85bf-debd03d67ce5}" ref="J8">
      <text>
        <t xml:space="preserve">[Threaded comment]
 Your version of Excel allows you to read this threaded comment; however, any edits to it will get removed if the file is opened in a newer version of Excel. Learn more: https://go.microsoft.com/fwlink/?linkid=870924
Comment:
	Need to check how much interest in it
</t>
      </text>
    </comment>
    <comment authorId="2" xr:uid="{6f909b84-d2f7-4860-b830-22ae5a9ccc13}" ref="K12">
      <text>
        <t xml:space="preserve">[Threaded comment]
 Your version of Excel allows you to read this threaded comment; however, any edits to it will get removed if the file is opened in a newer version of Excel. Learn more: https://go.microsoft.com/fwlink/?linkid=870924
Comment:
	Need to separate the interest amount in this
</t>
      </text>
    </comment>
    <comment authorId="3" xr:uid="{becf1b4a-376d-439c-8a2e-2f3408f16ad4}" ref="J13">
      <text>
        <t xml:space="preserve">[Threaded comment]
 Your version of Excel allows you to read this threaded comment; however, any edits to it will get removed if the file is opened in a newer version of Excel. Learn more: https://go.microsoft.com/fwlink/?linkid=870924
Comment:
	In this interest amount should be separate it.
</t>
      </text>
    </comment>
    <comment authorId="4" xr:uid="{e19bb667-71f0-43ce-9432-213598f8099a}" ref="I8">
      <text>
        <t xml:space="preserve">[Threaded comment]
 Your version of Excel allows you to read this threaded comment; however, any edits to it will get removed if the file is opened in a newer version of Excel. Learn more: https://go.microsoft.com/fwlink/?linkid=870924
Comment:
	Need to separate interest and contribution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tc={1509962d-37c6-4f3c-b7b5-7d5ce1bc9fb8}</author>
    <author>tc={57a4d924-a727-4d96-a35a-ea1a8accd7bb}</author>
    <author>tc={7f305904-6bd4-478a-92c7-90e936ef62cc}</author>
  </authors>
  <commentList>
    <comment authorId="0" xr:uid="{1509962d-37c6-4f3c-b7b5-7d5ce1bc9fb8}" ref="D5">
      <text>
        <t xml:space="preserve">[Threaded comment]
 Your version of Excel allows you to read this threaded comment; however, any edits to it will get removed if the file is opened in a newer version of Excel. Learn more: https://go.microsoft.com/fwlink/?linkid=870924
Comment:
	Whether for March or April?
</t>
      </text>
    </comment>
    <comment authorId="1" xr:uid="{57a4d924-a727-4d96-a35a-ea1a8accd7bb}" ref="G13">
      <text>
        <t xml:space="preserve">[Threaded comment]
 Your version of Excel allows you to read this threaded comment; however, any edits to it will get removed if the file is opened in a newer version of Excel. Learn more: https://go.microsoft.com/fwlink/?linkid=870924
Comment:
	Need to check interest and contribution share
</t>
      </text>
    </comment>
    <comment authorId="2" xr:uid="{7f305904-6bd4-478a-92c7-90e936ef62cc}" ref="D24">
      <text>
        <t xml:space="preserve">[Threaded comment]
 Your version of Excel allows you to read this threaded comment; however, any edits to it will get removed if the file is opened in a newer version of Excel. Learn more: https://go.microsoft.com/fwlink/?linkid=870924
Comment:
	5K Interest from Sunil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tc={9e16f5f0-d0db-429e-8463-7f883820694f}</author>
    <author>tc={dffede9e-4a71-4975-9af2-9aa2ef71b1b0}</author>
  </authors>
  <commentList>
    <comment authorId="0" xr:uid="{9e16f5f0-d0db-429e-8463-7f883820694f}" ref="J22">
      <text>
        <t xml:space="preserve">[Threaded comment]
 Your version of Excel allows you to read this threaded comment; however, any edits to it will get removed if the file is opened in a newer version of Excel. Learn more: https://go.microsoft.com/fwlink/?linkid=870924
Comment:
	Need to check whether these are two or only one transaction
</t>
      </text>
    </comment>
    <comment authorId="1" xr:uid="{dffede9e-4a71-4975-9af2-9aa2ef71b1b0}" ref="F24">
      <text>
        <t xml:space="preserve">[Threaded comment]
 Your version of Excel allows you to read this threaded comment; however, any edits to it will get removed if the file is opened in a newer version of Excel. Learn more: https://go.microsoft.com/fwlink/?linkid=870924
Comment:
	First contribution
</t>
      </text>
    </comment>
  </commentList>
</comments>
</file>

<file path=xl/sharedStrings.xml><?xml version="1.0" encoding="utf-8"?>
<sst xmlns="http://schemas.openxmlformats.org/spreadsheetml/2006/main" count="775" uniqueCount="278">
  <si>
    <t>Contributions</t>
  </si>
  <si>
    <t>Loans</t>
  </si>
  <si>
    <t>Donations</t>
  </si>
  <si>
    <t>Total Contrbuitions</t>
  </si>
  <si>
    <t>Current Loan Value</t>
  </si>
  <si>
    <t>Donated so far</t>
  </si>
  <si>
    <t>Interest Earned (Bank, Loans, etc)</t>
  </si>
  <si>
    <t>Bad Debts</t>
  </si>
  <si>
    <t>Grand Total</t>
  </si>
  <si>
    <t>Reconcilation</t>
  </si>
  <si>
    <t>Current Balance</t>
  </si>
  <si>
    <t xml:space="preserve">Loans </t>
  </si>
  <si>
    <t>Reconcilation Amount</t>
  </si>
  <si>
    <t>Name</t>
  </si>
  <si>
    <t>Total</t>
  </si>
  <si>
    <t>2016</t>
  </si>
  <si>
    <t>2017</t>
  </si>
  <si>
    <t>2018</t>
  </si>
  <si>
    <t>2019</t>
  </si>
  <si>
    <t>2020</t>
  </si>
  <si>
    <t>2021</t>
  </si>
  <si>
    <t>2022</t>
  </si>
  <si>
    <t>2023</t>
  </si>
  <si>
    <t>2024</t>
  </si>
  <si>
    <t>2025</t>
  </si>
  <si>
    <t>2026</t>
  </si>
  <si>
    <t>Anil</t>
  </si>
  <si>
    <t>C. Ramanjaneyulu</t>
  </si>
  <si>
    <t>Srinith Ch</t>
  </si>
  <si>
    <t>Narasimha Chari</t>
  </si>
  <si>
    <t>Das</t>
  </si>
  <si>
    <t>Harikrishna Jetty</t>
  </si>
  <si>
    <t>D. Lakshmi Narayana</t>
  </si>
  <si>
    <t>Malli</t>
  </si>
  <si>
    <t>Malli Suneel</t>
  </si>
  <si>
    <t>Paramesh</t>
  </si>
  <si>
    <t>P. Prasad</t>
  </si>
  <si>
    <t>Samba</t>
  </si>
  <si>
    <t>Sandeep</t>
  </si>
  <si>
    <t>Sheshagiri</t>
  </si>
  <si>
    <t>Srinath Reddy</t>
  </si>
  <si>
    <t>Sunil Kumar Reddy</t>
  </si>
  <si>
    <t>Venkateswarlu</t>
  </si>
  <si>
    <t>O. Viswanath</t>
  </si>
  <si>
    <t>Lakshmi .G.P.R</t>
  </si>
  <si>
    <t>Prakash</t>
  </si>
  <si>
    <t>Trinath</t>
  </si>
  <si>
    <t>Sudhakar</t>
  </si>
  <si>
    <t>Bank Intrest/M.chit / Loans Interest</t>
  </si>
  <si>
    <t>SNO</t>
  </si>
  <si>
    <t>Amount</t>
  </si>
  <si>
    <t>Loan Type</t>
  </si>
  <si>
    <t>Start Date</t>
  </si>
  <si>
    <t>End Date</t>
  </si>
  <si>
    <t>Duration</t>
  </si>
  <si>
    <t>Status</t>
  </si>
  <si>
    <t>Interest Payable</t>
  </si>
  <si>
    <t>Interest Paid</t>
  </si>
  <si>
    <t>Interest Due</t>
  </si>
  <si>
    <t>Principal Paid</t>
  </si>
  <si>
    <t>Balance</t>
  </si>
  <si>
    <t>Bad Debt</t>
  </si>
  <si>
    <t>Remarks</t>
  </si>
  <si>
    <t>Active Loan</t>
  </si>
  <si>
    <t>Bhagavan Das</t>
  </si>
  <si>
    <t>Personal</t>
  </si>
  <si>
    <t>Write Off</t>
  </si>
  <si>
    <t>Interest free loan for his business.</t>
  </si>
  <si>
    <t>Write Offs</t>
  </si>
  <si>
    <t>Paid</t>
  </si>
  <si>
    <t>For his financial needs to set up his new home.</t>
  </si>
  <si>
    <t>Medical</t>
  </si>
  <si>
    <t>For his mother health expenses.</t>
  </si>
  <si>
    <t>Sunil Kumar Mallii</t>
  </si>
  <si>
    <t>Interest free loan for his house construction.</t>
  </si>
  <si>
    <t>For buying car</t>
  </si>
  <si>
    <t>Mallikarjuna</t>
  </si>
  <si>
    <t>Active</t>
  </si>
  <si>
    <t>Interest free loan for first 6 months.</t>
  </si>
  <si>
    <t>Srinath Ch</t>
  </si>
  <si>
    <t>Lakshmi Narayana</t>
  </si>
  <si>
    <t>For business reasons</t>
  </si>
  <si>
    <t>For persnal reasons</t>
  </si>
  <si>
    <t>Victim Name</t>
  </si>
  <si>
    <t>Referred By</t>
  </si>
  <si>
    <t>Date</t>
  </si>
  <si>
    <t>Self</t>
  </si>
  <si>
    <t>To help his medical issues.</t>
  </si>
  <si>
    <t>Naidruva</t>
  </si>
  <si>
    <t>Sampoorna</t>
  </si>
  <si>
    <t>Education</t>
  </si>
  <si>
    <t>Jagadeesh</t>
  </si>
  <si>
    <t>Narasimhulu Oruganti</t>
  </si>
  <si>
    <t>Anji</t>
  </si>
  <si>
    <t>Master Harinath</t>
  </si>
  <si>
    <t>Sunil Malli</t>
  </si>
  <si>
    <t>To help medical issues</t>
  </si>
  <si>
    <t>Shesagiri</t>
  </si>
  <si>
    <t>Jan</t>
  </si>
  <si>
    <t>Feb</t>
  </si>
  <si>
    <t>Mar</t>
  </si>
  <si>
    <t>Apr</t>
  </si>
  <si>
    <t>May</t>
  </si>
  <si>
    <t>Jun</t>
  </si>
  <si>
    <t>July</t>
  </si>
  <si>
    <t>Aug</t>
  </si>
  <si>
    <t>Sep</t>
  </si>
  <si>
    <t>Oct</t>
  </si>
  <si>
    <t>Nov</t>
  </si>
  <si>
    <t>Dec</t>
  </si>
  <si>
    <t>K.Anil Kumar Reddy</t>
  </si>
  <si>
    <t>CH.Ramanjineyulu</t>
  </si>
  <si>
    <t>CH.Srinath</t>
  </si>
  <si>
    <t>D.Lakshmi Narayana</t>
  </si>
  <si>
    <t>C.Mallikarjuna</t>
  </si>
  <si>
    <t>Suneel Kumar</t>
  </si>
  <si>
    <t>Ponugoti Prasad</t>
  </si>
  <si>
    <t>Meda Sunil Kumar</t>
  </si>
  <si>
    <t>Oleti Viswanath</t>
  </si>
  <si>
    <t>Bank Intrest</t>
  </si>
  <si>
    <t>Loans Intrest</t>
  </si>
  <si>
    <t>Summary</t>
  </si>
  <si>
    <t>Bank Interest</t>
  </si>
  <si>
    <t>Loans Interest</t>
  </si>
  <si>
    <t>Bank Intrest/M.chit/Loans Intrest</t>
  </si>
  <si>
    <t>J.Harikrishna</t>
  </si>
  <si>
    <t>P.Prasad</t>
  </si>
  <si>
    <t>Meda Sunil kumar</t>
  </si>
  <si>
    <t>15/03 - 10K credited from Bhagavan Das towards Principal</t>
  </si>
  <si>
    <t>10/04 - 29K credited from GPRS. Need to check the proportion in that.</t>
  </si>
  <si>
    <t>O.Viswanath</t>
  </si>
  <si>
    <t>Ranga Reddy</t>
  </si>
  <si>
    <t>sudhakar</t>
  </si>
  <si>
    <t>`</t>
  </si>
  <si>
    <t>JAN</t>
  </si>
  <si>
    <t>FEB</t>
  </si>
  <si>
    <t>MAR</t>
  </si>
  <si>
    <t>APR</t>
  </si>
  <si>
    <t>MAY</t>
  </si>
  <si>
    <t>JUNE</t>
  </si>
  <si>
    <t>JULY</t>
  </si>
  <si>
    <t>AUG</t>
  </si>
  <si>
    <t>SEP</t>
  </si>
  <si>
    <t>OCT</t>
  </si>
  <si>
    <t>NOV</t>
  </si>
  <si>
    <t>DEC</t>
  </si>
  <si>
    <t>Narasimha Cari</t>
  </si>
  <si>
    <t>Bank Intrest/M.chit</t>
  </si>
  <si>
    <t>Total-2016</t>
  </si>
  <si>
    <t>contributions</t>
  </si>
  <si>
    <t>contribution for sampoorna</t>
  </si>
  <si>
    <t>contribution for Nidurava</t>
  </si>
  <si>
    <t>Year</t>
  </si>
  <si>
    <t>Contribution Amount</t>
  </si>
  <si>
    <t>Interest</t>
  </si>
  <si>
    <t>Year&amp;Month</t>
  </si>
  <si>
    <t>Year &amp; Month</t>
  </si>
  <si>
    <t>Anil (personal)</t>
  </si>
  <si>
    <t>Hari(personal)</t>
  </si>
  <si>
    <t>sunil Reddy(Personal)</t>
  </si>
  <si>
    <t>sheshagiri(persnal)</t>
  </si>
  <si>
    <t>suneel nellore(personal)</t>
  </si>
  <si>
    <t>fcf</t>
  </si>
  <si>
    <t>FCF</t>
  </si>
  <si>
    <t>Active Loans</t>
  </si>
  <si>
    <t>Expenses</t>
  </si>
  <si>
    <t>Liquid cash</t>
  </si>
  <si>
    <t>Person</t>
  </si>
  <si>
    <t>Donated Amount</t>
  </si>
  <si>
    <t>Duplicate Pass book Charges</t>
  </si>
  <si>
    <t>Prasad</t>
  </si>
  <si>
    <t>paid</t>
  </si>
  <si>
    <t>FCF member (DAS)</t>
  </si>
  <si>
    <t>Tranferred charges</t>
  </si>
  <si>
    <t>Total contributions</t>
  </si>
  <si>
    <t>malli</t>
  </si>
  <si>
    <t>25/01/2021</t>
  </si>
  <si>
    <t>Nidurava</t>
  </si>
  <si>
    <t>Total Donations</t>
  </si>
  <si>
    <t>Meda sunil kumar</t>
  </si>
  <si>
    <t>23/11/2021</t>
  </si>
  <si>
    <t>FCF+Lakshmi</t>
  </si>
  <si>
    <t>G.P.Lakshmi</t>
  </si>
  <si>
    <t>28/12/2021</t>
  </si>
  <si>
    <t>Suneel</t>
  </si>
  <si>
    <t>18/02/2020</t>
  </si>
  <si>
    <t>Naveen sri</t>
  </si>
  <si>
    <t>Venky</t>
  </si>
  <si>
    <t>Anji reference child</t>
  </si>
  <si>
    <t>amount</t>
  </si>
  <si>
    <t>25/08/2020</t>
  </si>
  <si>
    <t>Meda Suneel Kumar</t>
  </si>
  <si>
    <t>17-03-2022</t>
  </si>
  <si>
    <t>Lakshmi Naranayana</t>
  </si>
  <si>
    <t>27-07-2020</t>
  </si>
  <si>
    <t>Attendees</t>
  </si>
  <si>
    <t>Mallikarjuna C, Seshagiri G, Bhagvan Das, Prasad P, Anil K, Sreenath CH, Sreenath reddy, Sunil Kumar Reddy, M Sunil Kumar, Samba B, O Viswanath, Sandeep B, Paramesh K, J Hari Krishna, Chari VN, Lakshmi Narayana</t>
  </si>
  <si>
    <t>Non Attendees</t>
  </si>
  <si>
    <t>Prakash P, Anji, Venkateswarulu
Trinath, Guru Prasanna Lakshmi (New members)</t>
  </si>
  <si>
    <t>General notes</t>
  </si>
  <si>
    <t>1. We all thank Malli C for holding this group together by his tremendous efforts and good will.
2. We all need to commend ourselves for running this group steadfastly for 4 years.  There are highs and lows but we all agree that it's still a great achievement.
3. We regret that we were not able to act on one of the requests timely and decided not to repeat this again.
4. We all are friends in first place and this is a place to help each other out.  Feel free to discuss any financial necessities like loans with whomever is your closest SPOC/member.
5. To encourage other AITS friends to join FCF by reaching out to them.
6. Helping non FCF members came up and we decided member closer to them can reach out to them and encourage to come up with a plan.</t>
  </si>
  <si>
    <t>Below are the resolutions as per our 27/Jul/2020 Zoom meeting</t>
  </si>
  <si>
    <r>
      <rPr>
        <b/>
        <color rgb="FF1155CC"/>
        <u/>
      </rPr>
      <t>S.No</t>
    </r>
    <r>
      <rPr>
        <b/>
      </rPr>
      <t>.</t>
    </r>
  </si>
  <si>
    <t>Resolution</t>
  </si>
  <si>
    <t>Member responsible</t>
  </si>
  <si>
    <t>opinion</t>
  </si>
  <si>
    <t>Confirmation</t>
  </si>
  <si>
    <t>The distinction as Refundable/Non Refundable members is discontinued.</t>
  </si>
  <si>
    <t>All</t>
  </si>
  <si>
    <t>Need to discuss on this in forth coming FCF conference.</t>
  </si>
  <si>
    <t>This has been agreed by all the people in the meeting. Still there is an option to decide at the end rather than declaring at initial.</t>
  </si>
  <si>
    <t>Members will be allowed to decide whether they want their contributions back or donate to any charity at the time of leaving or closure of FCF.</t>
  </si>
  <si>
    <t xml:space="preserve">ok </t>
  </si>
  <si>
    <t>Contribution refunds will be minus any member's contribution towards bad debts/expenses/social contributions</t>
  </si>
  <si>
    <t>We will try to register as a trust if its feasible.  Malli to look into the details and call out for any help required from members</t>
  </si>
  <si>
    <t>Malli C</t>
  </si>
  <si>
    <t>ok</t>
  </si>
  <si>
    <t>The immediate help for health reasons is still confined to immediate family members(Parents, Spouse &amp; Children) but members are actively encouraged to reach out for help if any others(siblings/in laws etc) need financial help for health reasons.  We will use Social fund for this and where this might not be possible might consider an exception on members agreement.</t>
  </si>
  <si>
    <t>Members are encouraged to seek out actively for any loans if they have any financial necessities.
Members should understand we will decide based on the financial reserves at the time.</t>
  </si>
  <si>
    <t>Social help will continue based on a quarterly budget basis of 25k.  Please flag any requests as soon as you can to allow enough time for all the members to respond.</t>
  </si>
  <si>
    <r>
      <rPr/>
      <t xml:space="preserve">Based on past history of donations..we did not cross 35k per </t>
    </r>
    <r>
      <rPr>
        <color rgb="FF1155CC"/>
        <u/>
      </rPr>
      <t>anuum.</t>
    </r>
    <r>
      <rPr/>
      <t xml:space="preserve">social help 25k  Per Quarter may not possible.  </t>
    </r>
    <r>
      <rPr>
        <color rgb="FF1155CC"/>
        <u/>
      </rPr>
      <t>So</t>
    </r>
    <r>
      <rPr/>
      <t xml:space="preserve"> my opinion is need to make change in that.</t>
    </r>
  </si>
  <si>
    <t>We can keep 10K per quarter. Can carry forward the amount, if past quarter not utilised.</t>
  </si>
  <si>
    <t>We will try to change the account to a joint account and try to share the credentials on a rotation basis so that Malli alone is not burdened to manage the entire financial book keeping.</t>
  </si>
  <si>
    <t>Clarification that we will continue to contribute to FCF as there was a confusion that we dont need to contribute once corpus fund is reached.</t>
  </si>
  <si>
    <t>we decided (in conference meeting )that we will come to some clarity over this in forth coming FCF meetings. After that only we will figure out corpus fund value with the all members acceptance.</t>
  </si>
  <si>
    <t>To have quarterly/half yearly catchups to discuss our status and consider any improvements to the previous resolutions.</t>
  </si>
  <si>
    <t>General Rules (2023 Meet)</t>
  </si>
  <si>
    <t>- Raise Fixed Corpus Fund to ₹5L, with yearly 20% increments or depends on inflation.</t>
  </si>
  <si>
    <t>- Personal loans are not feasible to offer until the principal reaches the fixed corpus, except for medical loans.</t>
  </si>
  <si>
    <t>- Increase the monthly contributions from ₹500 to ₹600, with an annual review to adjust for inflation, while also considering everyone's financial circumstances.</t>
  </si>
  <si>
    <t>- Increase personal loan interest rate from 6% to 8%. This ensures more professional and sustainable fund management, primarily maintained for friends. Note that those taking loans contribute to the fund, fostering shared responsibility and mutual support.</t>
  </si>
  <si>
    <t>- Current: ₹600/- for 1 Lakh</t>
  </si>
  <si>
    <t>- New: ₹650/- for 1 Lakh</t>
  </si>
  <si>
    <t>- Personal loan tenure should not exceed 6 months, unless there are exceptional circumstances such as natural disasters, job loss, or other significant hardships. This ensures the fund can benefit all contributors, who are in need rather than being tied up in long-term loans by a single member.</t>
  </si>
  <si>
    <t>- Identify individuals who are not actively contributing and request them to match the actual contributions gradually over a period of 6 months to help raise the fund.</t>
  </si>
  <si>
    <t>- Calculate TDS to pay to Govt from interest and other earnings from the fund and adjust in the principal.</t>
  </si>
  <si>
    <t>AITSMCA2006 BATCH</t>
  </si>
  <si>
    <t>AITSMCA-2006 FCF Contribution data</t>
  </si>
  <si>
    <t>Month</t>
  </si>
  <si>
    <t>july</t>
  </si>
  <si>
    <t>aug</t>
  </si>
  <si>
    <t>sep</t>
  </si>
  <si>
    <t>oct</t>
  </si>
  <si>
    <t>nov</t>
  </si>
  <si>
    <t>dec</t>
  </si>
  <si>
    <t>jan</t>
  </si>
  <si>
    <t>feb</t>
  </si>
  <si>
    <t>mar</t>
  </si>
  <si>
    <t>apr</t>
  </si>
  <si>
    <t>may</t>
  </si>
  <si>
    <t>june</t>
  </si>
  <si>
    <t>April</t>
  </si>
  <si>
    <t>anil</t>
  </si>
  <si>
    <t>anji</t>
  </si>
  <si>
    <t>ch</t>
  </si>
  <si>
    <t>chari</t>
  </si>
  <si>
    <t>das</t>
  </si>
  <si>
    <t>hari</t>
  </si>
  <si>
    <t>lakshmi</t>
  </si>
  <si>
    <t>malli suneel</t>
  </si>
  <si>
    <t>paramesh</t>
  </si>
  <si>
    <t>prasad</t>
  </si>
  <si>
    <t>samba</t>
  </si>
  <si>
    <t>sandeep</t>
  </si>
  <si>
    <t>sheshagiri</t>
  </si>
  <si>
    <t>srinath reddy</t>
  </si>
  <si>
    <t>sunil reddy</t>
  </si>
  <si>
    <t>venkateswarlu</t>
  </si>
  <si>
    <t>viswanath</t>
  </si>
  <si>
    <t>Total savings</t>
  </si>
  <si>
    <t>Chit amount</t>
  </si>
  <si>
    <t>(INCLUDING COMMISSION CHARGES)</t>
  </si>
  <si>
    <t>lakshmi(nidurava)</t>
  </si>
  <si>
    <t>FD</t>
  </si>
  <si>
    <t>Suneel kumar Reddy</t>
  </si>
  <si>
    <t>Lakshmi</t>
  </si>
  <si>
    <t>Available Liquid cash</t>
  </si>
  <si>
    <t>Donated To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</si>
</sst>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
    <numFmt numFmtId="165" formatCode="[$₹]#,##0.00"/>
    <numFmt numFmtId="166" formatCode="dd&quot;-&quot;mmm&quot;-&quot;yyyy"/>
    <numFmt numFmtId="167" formatCode="mm-dd-yyyy"/>
    <numFmt numFmtId="168" formatCode="yyyy-mmmm"/>
    <numFmt numFmtId="169" formatCode="yyyy -mmmm"/>
    <numFmt numFmtId="170" formatCode="mm/dd/yyyy"/>
    <numFmt numFmtId="171" formatCode="m/d/yyyy"/>
  </numFmts>
  <fonts count="21">
    <font>
      <sz val="10.0"/>
      <color rgb="FF000000"/>
      <name val="Arial"/>
    </font>
    <font>
      <b/>
      <color rgb="FFF6F8F9"/>
      <name val="Roboto"/>
    </font>
    <font/>
    <font>
      <name val="Roboto"/>
    </font>
    <font>
      <b/>
      <name val="Roboto"/>
    </font>
    <font>
      <color rgb="FFFFFFFF"/>
      <name val="Roboto"/>
    </font>
    <font>
      <sz val="11.0"/>
      <color rgb="FFFFFFFF"/>
      <name val="Calibri"/>
    </font>
    <font>
      <sz val="11.0"/>
      <color rgb="FF000000"/>
      <name val="Calibri"/>
    </font>
    <font>
      <color rgb="FF434343"/>
      <name val="Roboto"/>
    </font>
    <font>
      <color rgb="FF000000"/>
      <name val="&quot;Times New Roman&quot;"/>
    </font>
    <font>
      <color rgb="FFF6F8F9"/>
    </font>
    <font>
      <color rgb="FF000000"/>
    </font>
    <font>
      <color rgb="FFFFFFFF"/>
      <name val="&quot;Times New Roman&quot;"/>
    </font>
    <font>
      <sz val="11.0"/>
      <color rgb="FF000000"/>
      <name val="Inconsolata"/>
    </font>
    <font>
      <color rgb="FFFFFFFF"/>
    </font>
    <font>
      <b/>
    </font>
    <font>
      <b/>
      <u/>
      <color rgb="FF0000FF"/>
    </font>
    <font>
      <u/>
      <color rgb="FF0000FF"/>
    </font>
    <font>
      <color rgb="FFFF00FF"/>
    </font>
    <font>
      <b/>
      <color rgb="FFFF00FF"/>
    </font>
    <font>
      <color rgb="FF00FF00"/>
    </font>
  </fonts>
  <fills count="21">
    <fill>
      <patternFill patternType="none"/>
    </fill>
    <fill>
      <patternFill patternType="lightGray"/>
    </fill>
    <fill>
      <patternFill patternType="solid">
        <fgColor rgb="FF57BB8A"/>
        <bgColor rgb="FF57BB8A"/>
      </patternFill>
    </fill>
    <fill>
      <patternFill patternType="solid">
        <fgColor rgb="FFF79646"/>
        <bgColor rgb="FFF79646"/>
      </patternFill>
    </fill>
    <fill>
      <patternFill patternType="solid">
        <fgColor rgb="FF00B0F0"/>
        <bgColor rgb="FF00B0F0"/>
      </patternFill>
    </fill>
    <fill>
      <patternFill patternType="solid">
        <fgColor rgb="FFA61C00"/>
        <bgColor rgb="FFA61C00"/>
      </patternFill>
    </fill>
    <fill>
      <patternFill patternType="solid">
        <fgColor rgb="FF92D050"/>
        <bgColor rgb="FF92D050"/>
      </patternFill>
    </fill>
    <fill>
      <patternFill patternType="solid">
        <fgColor rgb="FF00FFFF"/>
        <bgColor rgb="FF00FFFF"/>
      </patternFill>
    </fill>
    <fill>
      <patternFill patternType="solid">
        <fgColor rgb="FFF6F8F9"/>
        <bgColor rgb="FFF6F8F9"/>
      </patternFill>
    </fill>
    <fill>
      <patternFill patternType="solid">
        <fgColor rgb="FFB6D7A8"/>
        <bgColor rgb="FFB6D7A8"/>
      </patternFill>
    </fill>
    <fill>
      <patternFill patternType="solid">
        <fgColor rgb="FFD0E0E3"/>
        <bgColor rgb="FFD0E0E3"/>
      </patternFill>
    </fill>
    <fill>
      <patternFill patternType="solid">
        <fgColor rgb="FF9900FF"/>
        <bgColor rgb="FF9900FF"/>
      </patternFill>
    </fill>
    <fill>
      <patternFill patternType="solid">
        <fgColor rgb="FFFFFF00"/>
        <bgColor rgb="FFFFFF00"/>
      </patternFill>
    </fill>
    <fill>
      <patternFill patternType="solid">
        <fgColor rgb="FFFFFFFF"/>
        <bgColor rgb="FFFFFFFF"/>
      </patternFill>
    </fill>
    <fill>
      <patternFill patternType="solid">
        <fgColor rgb="FFFF00FF"/>
        <bgColor rgb="FFFF00FF"/>
      </patternFill>
    </fill>
    <fill>
      <patternFill patternType="solid">
        <fgColor rgb="FF00FF00"/>
        <bgColor rgb="FF00FF00"/>
      </patternFill>
    </fill>
    <fill>
      <patternFill patternType="solid">
        <fgColor rgb="FFEA9999"/>
        <bgColor rgb="FFEA9999"/>
      </patternFill>
    </fill>
    <fill>
      <patternFill patternType="solid">
        <fgColor rgb="FFE6B8AF"/>
        <bgColor rgb="FFE6B8AF"/>
      </patternFill>
    </fill>
    <fill>
      <patternFill patternType="solid">
        <fgColor rgb="FFE06666"/>
        <bgColor rgb="FFE06666"/>
      </patternFill>
    </fill>
    <fill>
      <patternFill patternType="solid">
        <fgColor rgb="FFFFC000"/>
        <bgColor rgb="FFFFC000"/>
      </patternFill>
    </fill>
    <fill>
      <patternFill patternType="solid">
        <fgColor rgb="FFFF0000"/>
        <bgColor rgb="FFFF0000"/>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0" fillId="0" fontId="3" numFmtId="0" xfId="0" applyFont="1"/>
    <xf borderId="0" fillId="3" fontId="1" numFmtId="0" xfId="0" applyAlignment="1" applyFill="1" applyFont="1">
      <alignment horizontal="center" readingOrder="0"/>
    </xf>
    <xf borderId="0" fillId="4" fontId="1" numFmtId="0" xfId="0" applyAlignment="1" applyFill="1" applyFont="1">
      <alignment horizontal="center" readingOrder="0"/>
    </xf>
    <xf borderId="3" fillId="0" fontId="3" numFmtId="0" xfId="0" applyAlignment="1" applyBorder="1" applyFont="1">
      <alignment readingOrder="0"/>
    </xf>
    <xf borderId="3" fillId="0" fontId="3" numFmtId="0" xfId="0" applyBorder="1" applyFont="1"/>
    <xf borderId="3" fillId="0" fontId="3" numFmtId="0" xfId="0" applyBorder="1" applyFont="1"/>
    <xf borderId="1" fillId="0" fontId="3" numFmtId="0" xfId="0" applyBorder="1" applyFont="1"/>
    <xf borderId="3" fillId="0" fontId="4" numFmtId="0" xfId="0" applyAlignment="1" applyBorder="1" applyFont="1">
      <alignment readingOrder="0"/>
    </xf>
    <xf borderId="3" fillId="0" fontId="4" numFmtId="0" xfId="0" applyBorder="1" applyFont="1"/>
    <xf borderId="3" fillId="0" fontId="4" numFmtId="0" xfId="0" applyBorder="1" applyFont="1"/>
    <xf borderId="1" fillId="5" fontId="1" numFmtId="0" xfId="0" applyAlignment="1" applyBorder="1" applyFill="1" applyFont="1">
      <alignment horizontal="center" readingOrder="0"/>
    </xf>
    <xf borderId="3" fillId="0" fontId="3" numFmtId="164" xfId="0" applyAlignment="1" applyBorder="1" applyFont="1" applyNumberFormat="1">
      <alignment readingOrder="0"/>
    </xf>
    <xf borderId="3" fillId="0" fontId="3" numFmtId="165" xfId="0" applyBorder="1" applyFont="1" applyNumberFormat="1"/>
    <xf borderId="3" fillId="0" fontId="3" numFmtId="165" xfId="0" applyAlignment="1" applyBorder="1" applyFont="1" applyNumberFormat="1">
      <alignment readingOrder="0"/>
    </xf>
    <xf borderId="1" fillId="0" fontId="3" numFmtId="164" xfId="0" applyBorder="1" applyFont="1" applyNumberFormat="1"/>
    <xf borderId="3" fillId="0" fontId="4" numFmtId="164" xfId="0" applyAlignment="1" applyBorder="1" applyFont="1" applyNumberFormat="1">
      <alignment readingOrder="0"/>
    </xf>
    <xf borderId="3" fillId="0" fontId="4" numFmtId="165" xfId="0" applyBorder="1" applyFont="1" applyNumberFormat="1"/>
    <xf borderId="0" fillId="0" fontId="5" numFmtId="0" xfId="0" applyAlignment="1" applyFont="1">
      <alignment horizontal="left" readingOrder="0" shrinkToFit="0" vertical="center" wrapText="0"/>
    </xf>
    <xf borderId="0" fillId="0" fontId="6" numFmtId="0" xfId="0" applyAlignment="1" applyFont="1">
      <alignment horizontal="left" readingOrder="0" shrinkToFit="0" vertical="bottom" wrapText="0"/>
    </xf>
    <xf borderId="3" fillId="3" fontId="7" numFmtId="0" xfId="0" applyAlignment="1" applyBorder="1" applyFont="1">
      <alignment readingOrder="0" shrinkToFit="0" vertical="bottom" wrapText="0"/>
    </xf>
    <xf borderId="3" fillId="0" fontId="7" numFmtId="0" xfId="0" applyAlignment="1" applyBorder="1" applyFont="1">
      <alignment readingOrder="0" shrinkToFit="0" vertical="bottom" wrapText="0"/>
    </xf>
    <xf borderId="3" fillId="0" fontId="7" numFmtId="0" xfId="0" applyAlignment="1" applyBorder="1" applyFont="1">
      <alignment shrinkToFit="0" vertical="bottom" wrapText="0"/>
    </xf>
    <xf borderId="3" fillId="0" fontId="7" numFmtId="4" xfId="0" applyAlignment="1" applyBorder="1" applyFont="1" applyNumberFormat="1">
      <alignment shrinkToFit="0" vertical="bottom" wrapText="0"/>
    </xf>
    <xf borderId="3" fillId="0" fontId="8" numFmtId="4" xfId="0" applyAlignment="1" applyBorder="1" applyFont="1" applyNumberFormat="1">
      <alignment shrinkToFit="0" vertical="center" wrapText="0"/>
    </xf>
    <xf borderId="3" fillId="6" fontId="7" numFmtId="0" xfId="0" applyAlignment="1" applyBorder="1" applyFill="1" applyFont="1">
      <alignment readingOrder="0" shrinkToFit="0" vertical="bottom" wrapText="0"/>
    </xf>
    <xf borderId="1" fillId="7" fontId="8" numFmtId="0" xfId="0" applyAlignment="1" applyBorder="1" applyFill="1" applyFont="1">
      <alignment readingOrder="0" shrinkToFit="0" vertical="center" wrapText="0"/>
    </xf>
    <xf borderId="3" fillId="8" fontId="8" numFmtId="4" xfId="0" applyAlignment="1" applyBorder="1" applyFill="1" applyFont="1" applyNumberFormat="1">
      <alignment shrinkToFit="0" vertical="center" wrapText="0"/>
    </xf>
    <xf borderId="0" fillId="0" fontId="2" numFmtId="0" xfId="0" applyFont="1"/>
    <xf borderId="0" fillId="0" fontId="5" numFmtId="166" xfId="0" applyAlignment="1" applyFont="1" applyNumberFormat="1">
      <alignment horizontal="left" readingOrder="0" shrinkToFit="0" vertical="center" wrapText="0"/>
    </xf>
    <xf borderId="0" fillId="0" fontId="5" numFmtId="49" xfId="0" applyAlignment="1" applyFont="1" applyNumberFormat="1">
      <alignment horizontal="left" readingOrder="0" shrinkToFit="0" vertical="center" wrapText="0"/>
    </xf>
    <xf borderId="0" fillId="9" fontId="2" numFmtId="0" xfId="0" applyAlignment="1" applyFill="1" applyFont="1">
      <alignment readingOrder="0"/>
    </xf>
    <xf borderId="0" fillId="9" fontId="2" numFmtId="0" xfId="0" applyFont="1"/>
    <xf borderId="0" fillId="0" fontId="8" numFmtId="0" xfId="0" applyAlignment="1" applyFont="1">
      <alignment readingOrder="0" shrinkToFit="0" vertical="center" wrapText="0"/>
    </xf>
    <xf borderId="0" fillId="0" fontId="8" numFmtId="166" xfId="0" applyAlignment="1" applyFont="1" applyNumberFormat="1">
      <alignment readingOrder="0" shrinkToFit="0" vertical="center" wrapText="0"/>
    </xf>
    <xf borderId="0" fillId="0" fontId="8" numFmtId="46" xfId="0" applyAlignment="1" applyFont="1" applyNumberFormat="1">
      <alignment shrinkToFit="0" vertical="center" wrapText="0"/>
    </xf>
    <xf borderId="0" fillId="0" fontId="8" numFmtId="0" xfId="0" applyAlignment="1" applyFont="1">
      <alignment readingOrder="0" shrinkToFit="0" vertical="center" wrapText="0"/>
    </xf>
    <xf borderId="0" fillId="0" fontId="8" numFmtId="0" xfId="0" applyAlignment="1" applyFont="1">
      <alignment shrinkToFit="0" vertical="center" wrapText="0"/>
    </xf>
    <xf borderId="0" fillId="0" fontId="8" numFmtId="166" xfId="0" applyAlignment="1" applyFont="1" applyNumberFormat="1">
      <alignment shrinkToFit="0" vertical="center" wrapText="0"/>
    </xf>
    <xf borderId="0" fillId="0" fontId="8" numFmtId="0" xfId="0" applyAlignment="1" applyFont="1">
      <alignment shrinkToFit="0" vertical="center" wrapText="0"/>
    </xf>
    <xf borderId="0" fillId="0" fontId="8" numFmtId="0" xfId="0" applyAlignment="1" applyFont="1">
      <alignment shrinkToFit="0" vertical="center" wrapText="0"/>
    </xf>
    <xf borderId="0" fillId="0" fontId="8" numFmtId="166" xfId="0" applyAlignment="1" applyFont="1" applyNumberFormat="1">
      <alignment shrinkToFit="0" vertical="center" wrapText="0"/>
    </xf>
    <xf borderId="0" fillId="0" fontId="8" numFmtId="0" xfId="0" applyAlignment="1" applyFont="1">
      <alignment shrinkToFit="0" vertical="center" wrapText="0"/>
    </xf>
    <xf borderId="0" fillId="0" fontId="2" numFmtId="166" xfId="0" applyFont="1" applyNumberFormat="1"/>
    <xf borderId="0" fillId="0" fontId="2" numFmtId="46" xfId="0" applyFont="1" applyNumberFormat="1"/>
    <xf borderId="0" fillId="10" fontId="2" numFmtId="0" xfId="0" applyAlignment="1" applyFill="1" applyFont="1">
      <alignment readingOrder="0"/>
    </xf>
    <xf borderId="0" fillId="10" fontId="2" numFmtId="0" xfId="0" applyFont="1"/>
    <xf borderId="0" fillId="0" fontId="8" numFmtId="167" xfId="0" applyAlignment="1" applyFont="1" applyNumberFormat="1">
      <alignment readingOrder="0" shrinkToFit="0" vertical="center" wrapText="0"/>
    </xf>
    <xf borderId="3" fillId="3" fontId="9" numFmtId="0" xfId="0" applyAlignment="1" applyBorder="1" applyFont="1">
      <alignment readingOrder="0" shrinkToFit="0" vertical="bottom" wrapText="0"/>
    </xf>
    <xf borderId="3" fillId="0" fontId="8" numFmtId="0" xfId="0" applyAlignment="1" applyBorder="1" applyFont="1">
      <alignment readingOrder="0" shrinkToFit="0" vertical="center" wrapText="0"/>
    </xf>
    <xf borderId="3" fillId="0" fontId="8" numFmtId="0" xfId="0" applyAlignment="1" applyBorder="1" applyFont="1">
      <alignment shrinkToFit="0" vertical="center" wrapText="0"/>
    </xf>
    <xf borderId="3" fillId="8" fontId="8" numFmtId="0" xfId="0" applyAlignment="1" applyBorder="1" applyFont="1">
      <alignment readingOrder="0" shrinkToFit="0" vertical="center" wrapText="0"/>
    </xf>
    <xf borderId="3" fillId="6" fontId="7" numFmtId="0" xfId="0" applyAlignment="1" applyBorder="1" applyFont="1">
      <alignment readingOrder="0" shrinkToFit="0" vertical="bottom" wrapText="1"/>
    </xf>
    <xf borderId="0" fillId="11" fontId="10" numFmtId="0" xfId="0" applyAlignment="1" applyFill="1" applyFont="1">
      <alignment readingOrder="0"/>
    </xf>
    <xf borderId="0" fillId="0" fontId="2" numFmtId="0" xfId="0" applyAlignment="1" applyFont="1">
      <alignment readingOrder="0"/>
    </xf>
    <xf borderId="3" fillId="12" fontId="8" numFmtId="0" xfId="0" applyAlignment="1" applyBorder="1" applyFill="1" applyFont="1">
      <alignment readingOrder="0" shrinkToFit="0" vertical="center" wrapText="0"/>
    </xf>
    <xf borderId="0" fillId="13" fontId="2" numFmtId="0" xfId="0" applyFill="1" applyFont="1"/>
    <xf borderId="0" fillId="13" fontId="2" numFmtId="0" xfId="0" applyAlignment="1" applyFont="1">
      <alignment horizontal="center" readingOrder="0"/>
    </xf>
    <xf borderId="0" fillId="13" fontId="2" numFmtId="0" xfId="0" applyAlignment="1" applyFont="1">
      <alignment readingOrder="0"/>
    </xf>
    <xf borderId="4" fillId="3" fontId="9" numFmtId="0" xfId="0" applyAlignment="1" applyBorder="1" applyFont="1">
      <alignment readingOrder="0" shrinkToFit="0" vertical="bottom" wrapText="0"/>
    </xf>
    <xf borderId="0" fillId="13" fontId="2" numFmtId="0" xfId="0" applyAlignment="1" applyFont="1">
      <alignment horizontal="left" readingOrder="0"/>
    </xf>
    <xf borderId="0" fillId="0" fontId="2" numFmtId="0" xfId="0" applyAlignment="1" applyFont="1">
      <alignment horizontal="center"/>
    </xf>
    <xf borderId="0" fillId="13" fontId="11" numFmtId="0" xfId="0" applyAlignment="1" applyFont="1">
      <alignment horizontal="center" readingOrder="0"/>
    </xf>
    <xf borderId="0" fillId="0" fontId="12" numFmtId="0" xfId="0" applyAlignment="1" applyFont="1">
      <alignment horizontal="left" readingOrder="0" shrinkToFit="0" vertical="bottom" wrapText="0"/>
    </xf>
    <xf borderId="3" fillId="0" fontId="7" numFmtId="0" xfId="0" applyAlignment="1" applyBorder="1" applyFont="1">
      <alignment horizontal="right" readingOrder="0" shrinkToFit="0" vertical="bottom" wrapText="0"/>
    </xf>
    <xf borderId="3" fillId="13" fontId="2" numFmtId="0" xfId="0" applyAlignment="1" applyBorder="1" applyFont="1">
      <alignment readingOrder="0"/>
    </xf>
    <xf borderId="3" fillId="13" fontId="2" numFmtId="0" xfId="0" applyAlignment="1" applyBorder="1" applyFont="1">
      <alignment horizontal="center"/>
    </xf>
    <xf borderId="4" fillId="6" fontId="9" numFmtId="0" xfId="0" applyAlignment="1" applyBorder="1" applyFont="1">
      <alignment readingOrder="0" shrinkToFit="0" vertical="bottom" wrapText="0"/>
    </xf>
    <xf borderId="3" fillId="0" fontId="7" numFmtId="0" xfId="0" applyAlignment="1" applyBorder="1" applyFont="1">
      <alignment readingOrder="0" shrinkToFit="0" vertical="bottom" wrapText="0"/>
    </xf>
    <xf borderId="3" fillId="0" fontId="7" numFmtId="0" xfId="0" applyAlignment="1" applyBorder="1" applyFont="1">
      <alignment shrinkToFit="0" vertical="bottom" wrapText="0"/>
    </xf>
    <xf borderId="1" fillId="0" fontId="8" numFmtId="0" xfId="0" applyAlignment="1" applyBorder="1" applyFont="1">
      <alignment readingOrder="0" shrinkToFit="0" vertical="center" wrapText="0"/>
    </xf>
    <xf borderId="3" fillId="14" fontId="8" numFmtId="0" xfId="0" applyAlignment="1" applyBorder="1" applyFill="1" applyFont="1">
      <alignment shrinkToFit="0" vertical="center" wrapText="0"/>
    </xf>
    <xf borderId="5" fillId="7" fontId="8" numFmtId="0" xfId="0" applyAlignment="1" applyBorder="1" applyFont="1">
      <alignment readingOrder="0" shrinkToFit="0" vertical="center" wrapText="0"/>
    </xf>
    <xf borderId="2" fillId="7" fontId="8" numFmtId="0" xfId="0" applyAlignment="1" applyBorder="1" applyFont="1">
      <alignment readingOrder="0" shrinkToFit="0" vertical="center" wrapText="0"/>
    </xf>
    <xf borderId="3" fillId="7" fontId="8" numFmtId="0" xfId="0" applyAlignment="1" applyBorder="1" applyFont="1">
      <alignment shrinkToFit="0" vertical="center" wrapText="0"/>
    </xf>
    <xf borderId="1" fillId="14" fontId="2" numFmtId="0" xfId="0" applyAlignment="1" applyBorder="1" applyFont="1">
      <alignment horizontal="center" readingOrder="0"/>
    </xf>
    <xf borderId="5" fillId="0" fontId="2" numFmtId="0" xfId="0" applyBorder="1" applyFont="1"/>
    <xf borderId="1" fillId="15" fontId="11" numFmtId="0" xfId="0" applyAlignment="1" applyBorder="1" applyFill="1" applyFont="1">
      <alignment horizontal="center" readingOrder="0"/>
    </xf>
    <xf borderId="1" fillId="15" fontId="2" numFmtId="0" xfId="0" applyAlignment="1" applyBorder="1" applyFont="1">
      <alignment horizontal="center" readingOrder="0"/>
    </xf>
    <xf borderId="3" fillId="7" fontId="2" numFmtId="0" xfId="0" applyAlignment="1" applyBorder="1" applyFont="1">
      <alignment readingOrder="0"/>
    </xf>
    <xf borderId="3" fillId="7" fontId="2" numFmtId="0" xfId="0" applyAlignment="1" applyBorder="1" applyFont="1">
      <alignment horizontal="center" readingOrder="0"/>
    </xf>
    <xf borderId="3" fillId="12" fontId="2" numFmtId="0" xfId="0" applyAlignment="1" applyBorder="1" applyFont="1">
      <alignment horizontal="center" readingOrder="0"/>
    </xf>
    <xf borderId="3" fillId="12" fontId="2" numFmtId="0" xfId="0" applyAlignment="1" applyBorder="1" applyFont="1">
      <alignment horizontal="center"/>
    </xf>
    <xf borderId="0" fillId="12" fontId="13" numFmtId="0" xfId="0" applyAlignment="1" applyFont="1">
      <alignment horizontal="center"/>
    </xf>
    <xf borderId="3" fillId="12" fontId="2" numFmtId="0" xfId="0" applyAlignment="1" applyBorder="1" applyFont="1">
      <alignment readingOrder="0"/>
    </xf>
    <xf borderId="3" fillId="12" fontId="2" numFmtId="168" xfId="0" applyAlignment="1" applyBorder="1" applyFont="1" applyNumberFormat="1">
      <alignment horizontal="center" readingOrder="0"/>
    </xf>
    <xf borderId="3" fillId="12" fontId="2" numFmtId="169" xfId="0" applyAlignment="1" applyBorder="1" applyFont="1" applyNumberFormat="1">
      <alignment readingOrder="0"/>
    </xf>
    <xf borderId="3" fillId="12" fontId="13" numFmtId="0" xfId="0" applyAlignment="1" applyBorder="1" applyFont="1">
      <alignment horizontal="center"/>
    </xf>
    <xf borderId="3" fillId="16" fontId="2" numFmtId="0" xfId="0" applyAlignment="1" applyBorder="1" applyFill="1" applyFont="1">
      <alignment readingOrder="0"/>
    </xf>
    <xf borderId="3" fillId="16" fontId="2" numFmtId="0" xfId="0" applyBorder="1" applyFont="1"/>
    <xf borderId="3" fillId="16" fontId="2" numFmtId="0" xfId="0" applyAlignment="1" applyBorder="1" applyFont="1">
      <alignment horizontal="center" readingOrder="0"/>
    </xf>
    <xf borderId="3" fillId="16" fontId="2" numFmtId="0" xfId="0" applyAlignment="1" applyBorder="1" applyFont="1">
      <alignment horizontal="center"/>
    </xf>
    <xf borderId="3" fillId="0" fontId="2" numFmtId="0" xfId="0" applyAlignment="1" applyBorder="1" applyFont="1">
      <alignment horizontal="center" readingOrder="0"/>
    </xf>
    <xf borderId="0" fillId="13" fontId="13" numFmtId="0" xfId="0" applyAlignment="1" applyFont="1">
      <alignment horizontal="center" readingOrder="0"/>
    </xf>
    <xf borderId="0" fillId="16" fontId="2" numFmtId="0" xfId="0" applyAlignment="1" applyFont="1">
      <alignment readingOrder="0"/>
    </xf>
    <xf borderId="0" fillId="16" fontId="2" numFmtId="0" xfId="0" applyFont="1"/>
    <xf borderId="0" fillId="16" fontId="2" numFmtId="0" xfId="0" applyAlignment="1" applyFont="1">
      <alignment horizontal="center"/>
    </xf>
    <xf borderId="3" fillId="17" fontId="2" numFmtId="0" xfId="0" applyAlignment="1" applyBorder="1" applyFill="1" applyFont="1">
      <alignment readingOrder="0"/>
    </xf>
    <xf borderId="3" fillId="17" fontId="2" numFmtId="0" xfId="0" applyAlignment="1" applyBorder="1" applyFont="1">
      <alignment horizontal="center" readingOrder="0"/>
    </xf>
    <xf borderId="0" fillId="17" fontId="2" numFmtId="0" xfId="0" applyAlignment="1" applyFont="1">
      <alignment horizontal="center" readingOrder="0"/>
    </xf>
    <xf borderId="3" fillId="12" fontId="13" numFmtId="0" xfId="0" applyAlignment="1" applyBorder="1" applyFont="1">
      <alignment horizontal="center" readingOrder="0"/>
    </xf>
    <xf borderId="3" fillId="17" fontId="2" numFmtId="0" xfId="0" applyAlignment="1" applyBorder="1" applyFont="1">
      <alignment horizontal="center"/>
    </xf>
    <xf borderId="3" fillId="0" fontId="2" numFmtId="0" xfId="0" applyAlignment="1" applyBorder="1" applyFont="1">
      <alignment readingOrder="0"/>
    </xf>
    <xf borderId="3" fillId="0" fontId="2" numFmtId="0" xfId="0" applyBorder="1" applyFont="1"/>
    <xf borderId="3" fillId="15" fontId="2" numFmtId="0" xfId="0" applyAlignment="1" applyBorder="1" applyFont="1">
      <alignment readingOrder="0"/>
    </xf>
    <xf borderId="3" fillId="0" fontId="2" numFmtId="0" xfId="0" applyAlignment="1" applyBorder="1" applyFont="1">
      <alignment horizontal="left" readingOrder="0"/>
    </xf>
    <xf borderId="3" fillId="14" fontId="2" numFmtId="0" xfId="0" applyAlignment="1" applyBorder="1" applyFont="1">
      <alignment readingOrder="0"/>
    </xf>
    <xf borderId="3" fillId="14" fontId="2" numFmtId="0" xfId="0" applyAlignment="1" applyBorder="1" applyFont="1">
      <alignment horizontal="center" readingOrder="0"/>
    </xf>
    <xf borderId="3" fillId="0" fontId="2" numFmtId="170" xfId="0" applyAlignment="1" applyBorder="1" applyFont="1" applyNumberFormat="1">
      <alignment horizontal="left" readingOrder="0"/>
    </xf>
    <xf borderId="3" fillId="12" fontId="2" numFmtId="0" xfId="0" applyAlignment="1" applyBorder="1" applyFont="1">
      <alignment horizontal="left" readingOrder="0"/>
    </xf>
    <xf borderId="0" fillId="7" fontId="2" numFmtId="0" xfId="0" applyAlignment="1" applyFont="1">
      <alignment readingOrder="0"/>
    </xf>
    <xf borderId="0" fillId="7" fontId="2" numFmtId="0" xfId="0" applyAlignment="1" applyFont="1">
      <alignment horizontal="center" readingOrder="0"/>
    </xf>
    <xf borderId="0" fillId="0" fontId="14" numFmtId="0" xfId="0" applyFont="1"/>
    <xf borderId="3" fillId="18" fontId="2" numFmtId="0" xfId="0" applyAlignment="1" applyBorder="1" applyFill="1" applyFont="1">
      <alignment readingOrder="0"/>
    </xf>
    <xf borderId="3" fillId="18" fontId="2" numFmtId="0" xfId="0" applyAlignment="1" applyBorder="1" applyFont="1">
      <alignment horizontal="center"/>
    </xf>
    <xf borderId="0" fillId="0" fontId="2" numFmtId="167" xfId="0" applyAlignment="1" applyFont="1" applyNumberFormat="1">
      <alignment readingOrder="0"/>
    </xf>
    <xf borderId="3" fillId="0" fontId="2" numFmtId="171" xfId="0" applyAlignment="1" applyBorder="1" applyFont="1" applyNumberFormat="1">
      <alignment readingOrder="0"/>
    </xf>
    <xf borderId="0" fillId="18" fontId="2" numFmtId="0" xfId="0" applyAlignment="1" applyFont="1">
      <alignment readingOrder="0"/>
    </xf>
    <xf borderId="0" fillId="18" fontId="2" numFmtId="0" xfId="0" applyAlignment="1" applyFont="1">
      <alignment horizontal="center"/>
    </xf>
    <xf borderId="3" fillId="0" fontId="2" numFmtId="167" xfId="0" applyAlignment="1" applyBorder="1" applyFont="1" applyNumberFormat="1">
      <alignment readingOrder="0"/>
    </xf>
    <xf borderId="3" fillId="13" fontId="2" numFmtId="0" xfId="0" applyAlignment="1" applyBorder="1" applyFont="1">
      <alignment horizontal="center" readingOrder="0"/>
    </xf>
    <xf borderId="3" fillId="0" fontId="2" numFmtId="0" xfId="0" applyAlignment="1" applyBorder="1" applyFont="1">
      <alignment horizontal="right" readingOrder="0"/>
    </xf>
    <xf borderId="0" fillId="13" fontId="2" numFmtId="0" xfId="0" applyAlignment="1" applyFont="1">
      <alignment horizontal="center"/>
    </xf>
    <xf borderId="0" fillId="0" fontId="2" numFmtId="170" xfId="0" applyAlignment="1" applyFont="1" applyNumberFormat="1">
      <alignment readingOrder="0"/>
    </xf>
    <xf borderId="0" fillId="0" fontId="2" numFmtId="0" xfId="0" applyAlignment="1" applyFont="1">
      <alignment horizontal="center" readingOrder="0"/>
    </xf>
    <xf borderId="3" fillId="0" fontId="15" numFmtId="0" xfId="0" applyAlignment="1" applyBorder="1" applyFont="1">
      <alignment readingOrder="0"/>
    </xf>
    <xf borderId="3" fillId="0" fontId="2" numFmtId="0" xfId="0" applyAlignment="1" applyBorder="1" applyFont="1">
      <alignment readingOrder="0" shrinkToFit="0" wrapText="1"/>
    </xf>
    <xf borderId="3" fillId="0" fontId="15" numFmtId="0" xfId="0" applyAlignment="1" applyBorder="1" applyFont="1">
      <alignment readingOrder="0" vertical="top"/>
    </xf>
    <xf borderId="0" fillId="0" fontId="15" numFmtId="0" xfId="0" applyAlignment="1" applyFont="1">
      <alignment readingOrder="0"/>
    </xf>
    <xf borderId="3" fillId="0" fontId="16" numFmtId="0" xfId="0" applyAlignment="1" applyBorder="1" applyFont="1">
      <alignment readingOrder="0"/>
    </xf>
    <xf borderId="3" fillId="0" fontId="17" numFmtId="0" xfId="0" applyAlignment="1" applyBorder="1" applyFont="1">
      <alignment readingOrder="0" shrinkToFit="0" wrapText="1"/>
    </xf>
    <xf borderId="0" fillId="7" fontId="18" numFmtId="0" xfId="0" applyAlignment="1" applyFont="1">
      <alignment horizontal="center" readingOrder="0"/>
    </xf>
    <xf borderId="1" fillId="4" fontId="7" numFmtId="0" xfId="0" applyAlignment="1" applyBorder="1" applyFont="1">
      <alignment horizontal="center" readingOrder="0" shrinkToFit="0" vertical="bottom" wrapText="0"/>
    </xf>
    <xf borderId="6" fillId="6" fontId="7" numFmtId="0" xfId="0" applyAlignment="1" applyBorder="1" applyFont="1">
      <alignment readingOrder="0" shrinkToFit="0" vertical="bottom" wrapText="0"/>
    </xf>
    <xf borderId="1" fillId="14" fontId="7" numFmtId="0" xfId="0" applyAlignment="1" applyBorder="1" applyFont="1">
      <alignment horizontal="center" readingOrder="0" shrinkToFit="0" vertical="bottom" wrapText="0"/>
    </xf>
    <xf borderId="4" fillId="0" fontId="2" numFmtId="0" xfId="0" applyBorder="1" applyFont="1"/>
    <xf borderId="3" fillId="0" fontId="7" numFmtId="0" xfId="0" applyAlignment="1" applyBorder="1" applyFont="1">
      <alignment readingOrder="0" shrinkToFit="0" vertical="bottom" wrapText="0"/>
    </xf>
    <xf borderId="3" fillId="3" fontId="7" numFmtId="0" xfId="0" applyAlignment="1" applyBorder="1" applyFont="1">
      <alignment readingOrder="0" shrinkToFit="0" vertical="bottom" wrapText="0"/>
    </xf>
    <xf borderId="3" fillId="0" fontId="7" numFmtId="0" xfId="0" applyAlignment="1" applyBorder="1" applyFont="1">
      <alignment horizontal="right" readingOrder="0" shrinkToFit="0" vertical="bottom" wrapText="0"/>
    </xf>
    <xf borderId="3" fillId="0" fontId="7" numFmtId="0" xfId="0" applyAlignment="1" applyBorder="1" applyFont="1">
      <alignment shrinkToFit="0" vertical="bottom" wrapText="0"/>
    </xf>
    <xf borderId="3" fillId="6" fontId="7" numFmtId="0" xfId="0" applyAlignment="1" applyBorder="1" applyFont="1">
      <alignment readingOrder="0" shrinkToFit="0" vertical="bottom" wrapText="0"/>
    </xf>
    <xf borderId="3" fillId="19" fontId="7" numFmtId="0" xfId="0" applyAlignment="1" applyBorder="1" applyFill="1" applyFont="1">
      <alignment readingOrder="0" shrinkToFit="0" vertical="bottom" wrapText="0"/>
    </xf>
    <xf borderId="3" fillId="12" fontId="7" numFmtId="0" xfId="0" applyAlignment="1" applyBorder="1" applyFont="1">
      <alignment horizontal="right" readingOrder="0" shrinkToFit="0" vertical="bottom" wrapText="0"/>
    </xf>
    <xf borderId="1" fillId="12" fontId="7" numFmtId="0" xfId="0" applyAlignment="1" applyBorder="1" applyFont="1">
      <alignment readingOrder="0" shrinkToFit="0" vertical="bottom" wrapText="0"/>
    </xf>
    <xf borderId="3" fillId="12" fontId="7" numFmtId="0" xfId="0" applyAlignment="1" applyBorder="1" applyFont="1">
      <alignment readingOrder="0" shrinkToFit="0" vertical="bottom" wrapText="0"/>
    </xf>
    <xf borderId="3" fillId="12" fontId="7" numFmtId="0" xfId="0" applyAlignment="1" applyBorder="1" applyFont="1">
      <alignment shrinkToFit="0" vertical="bottom" wrapText="0"/>
    </xf>
    <xf borderId="5" fillId="12" fontId="7" numFmtId="0" xfId="0" applyAlignment="1" applyBorder="1" applyFont="1">
      <alignment readingOrder="0" shrinkToFit="0" vertical="bottom" wrapText="0"/>
    </xf>
    <xf borderId="7" fillId="12" fontId="7" numFmtId="0" xfId="0" applyAlignment="1" applyBorder="1" applyFont="1">
      <alignment readingOrder="0" shrinkToFit="0" vertical="bottom" wrapText="0"/>
    </xf>
    <xf borderId="8" fillId="12" fontId="7" numFmtId="0" xfId="0" applyAlignment="1" applyBorder="1" applyFont="1">
      <alignment readingOrder="0" shrinkToFit="0" vertical="bottom" wrapText="0"/>
    </xf>
    <xf borderId="6" fillId="12" fontId="7" numFmtId="0" xfId="0" applyAlignment="1" applyBorder="1" applyFont="1">
      <alignment readingOrder="0" shrinkToFit="0" vertical="bottom" wrapText="0"/>
    </xf>
    <xf borderId="6" fillId="12" fontId="7" numFmtId="0" xfId="0" applyAlignment="1" applyBorder="1" applyFont="1">
      <alignment horizontal="right" readingOrder="0" shrinkToFit="0" vertical="bottom" wrapText="0"/>
    </xf>
    <xf borderId="6" fillId="18" fontId="7" numFmtId="0" xfId="0" applyAlignment="1" applyBorder="1" applyFont="1">
      <alignment readingOrder="0" shrinkToFit="0" vertical="bottom" wrapText="0"/>
    </xf>
    <xf borderId="7" fillId="18" fontId="7" numFmtId="0" xfId="0" applyAlignment="1" applyBorder="1" applyFont="1">
      <alignment readingOrder="0" shrinkToFit="0" vertical="bottom" wrapText="0"/>
    </xf>
    <xf borderId="8" fillId="0" fontId="2" numFmtId="0" xfId="0" applyBorder="1" applyFont="1"/>
    <xf borderId="9" fillId="0" fontId="2" numFmtId="0" xfId="0" applyBorder="1" applyFont="1"/>
    <xf borderId="6" fillId="18" fontId="2" numFmtId="0" xfId="0" applyBorder="1" applyFont="1"/>
    <xf borderId="3" fillId="18" fontId="7" numFmtId="0" xfId="0" applyAlignment="1" applyBorder="1" applyFont="1">
      <alignment horizontal="right" readingOrder="0" shrinkToFit="0" vertical="bottom" wrapText="0"/>
    </xf>
    <xf borderId="1" fillId="18" fontId="2" numFmtId="0" xfId="0" applyAlignment="1" applyBorder="1" applyFont="1">
      <alignment readingOrder="0"/>
    </xf>
    <xf borderId="0" fillId="18" fontId="7" numFmtId="0" xfId="0" applyAlignment="1" applyFont="1">
      <alignment horizontal="right" readingOrder="0" shrinkToFit="0" vertical="bottom" wrapText="0"/>
    </xf>
    <xf borderId="0" fillId="18" fontId="7" numFmtId="0" xfId="0" applyAlignment="1" applyFont="1">
      <alignment readingOrder="0" shrinkToFit="0" vertical="bottom" wrapText="0"/>
    </xf>
    <xf borderId="3" fillId="7" fontId="19" numFmtId="0" xfId="0" applyAlignment="1" applyBorder="1" applyFont="1">
      <alignment readingOrder="0"/>
    </xf>
    <xf borderId="4" fillId="7" fontId="19" numFmtId="0" xfId="0" applyBorder="1" applyFont="1"/>
    <xf borderId="3" fillId="7" fontId="19" numFmtId="0" xfId="0" applyBorder="1" applyFont="1"/>
    <xf borderId="0" fillId="20" fontId="20" numFmtId="0" xfId="0" applyAlignment="1" applyFill="1" applyFont="1">
      <alignment readingOrder="0"/>
    </xf>
    <xf borderId="0" fillId="14" fontId="2" numFmtId="0" xfId="0"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s>
  <tableStyles count="14">
    <tableStyle count="4" pivot="0" name="Contributions-style">
      <tableStyleElement dxfId="1" type="headerRow"/>
      <tableStyleElement dxfId="2" type="firstRowStripe"/>
      <tableStyleElement dxfId="3" type="secondRowStripe"/>
      <tableStyleElement dxfId="4" size="0" type="wholeTable"/>
    </tableStyle>
    <tableStyle count="4" pivot="0" name="Loans-style">
      <tableStyleElement dxfId="1" type="headerRow"/>
      <tableStyleElement dxfId="2" type="firstRowStripe"/>
      <tableStyleElement dxfId="3" type="secondRowStripe"/>
      <tableStyleElement dxfId="4" size="0" type="wholeTable"/>
    </tableStyle>
    <tableStyle count="4" pivot="0" name="Donations-style">
      <tableStyleElement dxfId="1" type="headerRow"/>
      <tableStyleElement dxfId="2" type="firstRowStripe"/>
      <tableStyleElement dxfId="3" type="secondRowStripe"/>
      <tableStyleElement dxfId="4" size="0" type="wholeTable"/>
    </tableStyle>
    <tableStyle count="4" pivot="0" name="2026-style">
      <tableStyleElement dxfId="1" type="headerRow"/>
      <tableStyleElement dxfId="2" type="firstRowStripe"/>
      <tableStyleElement dxfId="3" type="secondRowStripe"/>
      <tableStyleElement dxfId="4" size="0" type="wholeTable"/>
    </tableStyle>
    <tableStyle count="5" pivot="0" name="2025-style">
      <tableStyleElement dxfId="1" type="headerRow"/>
      <tableStyleElement dxfId="2" type="firstRowStripe"/>
      <tableStyleElement dxfId="3" type="secondRowStripe"/>
      <tableStyleElement dxfId="5" type="totalRow"/>
      <tableStyleElement dxfId="4" size="0" type="wholeTable"/>
    </tableStyle>
    <tableStyle count="5" pivot="0" name="2024-style">
      <tableStyleElement dxfId="1" type="headerRow"/>
      <tableStyleElement dxfId="2" type="firstRowStripe"/>
      <tableStyleElement dxfId="3" type="secondRowStripe"/>
      <tableStyleElement dxfId="5" type="totalRow"/>
      <tableStyleElement dxfId="4" size="0" type="wholeTable"/>
    </tableStyle>
    <tableStyle count="5" pivot="0" name="2023-style">
      <tableStyleElement dxfId="1" type="headerRow"/>
      <tableStyleElement dxfId="2" type="firstRowStripe"/>
      <tableStyleElement dxfId="3" type="secondRowStripe"/>
      <tableStyleElement dxfId="5" type="totalRow"/>
      <tableStyleElement dxfId="4" size="0" type="wholeTable"/>
    </tableStyle>
    <tableStyle count="5" pivot="0" name="2022-style">
      <tableStyleElement dxfId="1" type="headerRow"/>
      <tableStyleElement dxfId="2" type="firstRowStripe"/>
      <tableStyleElement dxfId="3" type="secondRowStripe"/>
      <tableStyleElement dxfId="5" type="totalRow"/>
      <tableStyleElement dxfId="4" size="0" type="wholeTable"/>
    </tableStyle>
    <tableStyle count="5" pivot="0" name="2021-style">
      <tableStyleElement dxfId="1" type="headerRow"/>
      <tableStyleElement dxfId="2" type="firstRowStripe"/>
      <tableStyleElement dxfId="3" type="secondRowStripe"/>
      <tableStyleElement dxfId="5" type="totalRow"/>
      <tableStyleElement dxfId="4" size="0" type="wholeTable"/>
    </tableStyle>
    <tableStyle count="5" pivot="0" name="2020-style">
      <tableStyleElement dxfId="1" type="headerRow"/>
      <tableStyleElement dxfId="2" type="firstRowStripe"/>
      <tableStyleElement dxfId="3" type="secondRowStripe"/>
      <tableStyleElement dxfId="5" type="totalRow"/>
      <tableStyleElement dxfId="4" size="0" type="wholeTable"/>
    </tableStyle>
    <tableStyle count="5" pivot="0" name="2019-style">
      <tableStyleElement dxfId="1" type="headerRow"/>
      <tableStyleElement dxfId="2" type="firstRowStripe"/>
      <tableStyleElement dxfId="3" type="secondRowStripe"/>
      <tableStyleElement dxfId="5" type="totalRow"/>
      <tableStyleElement dxfId="4" size="0" type="wholeTable"/>
    </tableStyle>
    <tableStyle count="5" pivot="0" name="2018-style">
      <tableStyleElement dxfId="1" type="headerRow"/>
      <tableStyleElement dxfId="2" type="firstRowStripe"/>
      <tableStyleElement dxfId="3" type="secondRowStripe"/>
      <tableStyleElement dxfId="5" type="totalRow"/>
      <tableStyleElement dxfId="4" size="0" type="wholeTable"/>
    </tableStyle>
    <tableStyle count="5" pivot="0" name="2017-style">
      <tableStyleElement dxfId="1" type="headerRow"/>
      <tableStyleElement dxfId="2" type="firstRowStripe"/>
      <tableStyleElement dxfId="3" type="secondRowStripe"/>
      <tableStyleElement dxfId="5" type="totalRow"/>
      <tableStyleElement dxfId="4" size="0" type="wholeTable"/>
    </tableStyle>
    <tableStyle count="5" pivot="0" name="2016-style">
      <tableStyleElement dxfId="1" type="headerRow"/>
      <tableStyleElement dxfId="2" type="firstRowStripe"/>
      <tableStyleElement dxfId="3" type="secondRowStripe"/>
      <tableStyleElement dxfId="5" type="totalRow"/>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ramesh Korrakuti" id="{951fc29c-3432-48bc-a969-9b0a367305e5}" providerId="google-sheets"/>
</x18tc:personList>
</file>

<file path=xl/tables/table1.xml><?xml version="1.0" encoding="utf-8"?>
<table xmlns="http://schemas.openxmlformats.org/spreadsheetml/2006/main" ref="A1:M25" displayName="Table1" name="Table1" id="1">
  <tableColumns count="13">
    <tableColumn name="Name" id="1"/>
    <tableColumn name="Total" id="2"/>
    <tableColumn name="2016" id="3"/>
    <tableColumn name="2017" id="4"/>
    <tableColumn name="2018" id="5"/>
    <tableColumn name="2019" id="6"/>
    <tableColumn name="2020" id="7"/>
    <tableColumn name="2021" id="8"/>
    <tableColumn name="2022" id="9"/>
    <tableColumn name="2023" id="10"/>
    <tableColumn name="2024" id="11"/>
    <tableColumn name="2025" id="12"/>
    <tableColumn name="2026" id="13"/>
  </tableColumns>
  <tableStyleInfo name="Contributions-style" showColumnStripes="0" showFirstColumn="1" showLastColumn="1" showRowStripes="1"/>
</table>
</file>

<file path=xl/tables/table2.xml><?xml version="1.0" encoding="utf-8"?>
<table xmlns="http://schemas.openxmlformats.org/spreadsheetml/2006/main" ref="A1:O84" displayName="Loans" name="Loans" id="2">
  <tableColumns count="15">
    <tableColumn name="SNO" id="1"/>
    <tableColumn name="Name" id="2"/>
    <tableColumn name="Amount" id="3"/>
    <tableColumn name="Loan Type" id="4"/>
    <tableColumn name="Start Date" id="5"/>
    <tableColumn name="End Date" id="6"/>
    <tableColumn name="Duration" id="7"/>
    <tableColumn name="Status" id="8"/>
    <tableColumn name="Interest Payable" id="9"/>
    <tableColumn name="Interest Paid" id="10"/>
    <tableColumn name="Interest Due" id="11"/>
    <tableColumn name="Principal Paid" id="12"/>
    <tableColumn name="Balance" id="13"/>
    <tableColumn name="Bad Debt" id="14"/>
    <tableColumn name="Remarks" id="15"/>
  </tableColumns>
  <tableStyleInfo name="Loans-style" showColumnStripes="0" showFirstColumn="1" showLastColumn="1" showRowStripes="1"/>
</table>
</file>

<file path=xl/tables/table3.xml><?xml version="1.0" encoding="utf-8"?>
<table xmlns="http://schemas.openxmlformats.org/spreadsheetml/2006/main" ref="A1:F10" displayName="Donations" name="Donations" id="3">
  <tableColumns count="6">
    <tableColumn name="SNO" id="1"/>
    <tableColumn name="Victim Name" id="2"/>
    <tableColumn name="Referred By" id="3"/>
    <tableColumn name="Date" id="4"/>
    <tableColumn name="Amount" id="5"/>
    <tableColumn name="Remarks" id="6"/>
  </tableColumns>
  <tableStyleInfo name="Donations-style" showColumnStripes="0" showFirstColumn="1" showLastColumn="1" showRowStripes="1"/>
</table>
</file>

<file path=xl/tables/table4.xml><?xml version="1.0" encoding="utf-8"?>
<table xmlns="http://schemas.openxmlformats.org/spreadsheetml/2006/main" ref="A1:N26" displayName="Contributions_2026" name="Contributions_2026" id="4">
  <tableColumns count="14">
    <tableColumn name="Name" id="1"/>
    <tableColumn name="Jan" id="2"/>
    <tableColumn name="Feb" id="3"/>
    <tableColumn name="Mar" id="4"/>
    <tableColumn name="Apr" id="5"/>
    <tableColumn name="May" id="6"/>
    <tableColumn name="Jun" id="7"/>
    <tableColumn name="July" id="8"/>
    <tableColumn name="Aug" id="9"/>
    <tableColumn name="Sep" id="10"/>
    <tableColumn name="Oct" id="11"/>
    <tableColumn name="Nov" id="12"/>
    <tableColumn name="Dec" id="13"/>
    <tableColumn name="Total" id="14"/>
  </tableColumns>
  <tableStyleInfo name="2026-style" showColumnStripes="0" showFirstColumn="1" showLastColumn="1" showRowStripes="1"/>
</table>
</file>

<file path=xl/tables/table5.xml><?xml version="1.0" encoding="utf-8"?>
<table xmlns="http://schemas.openxmlformats.org/spreadsheetml/2006/main" totalsRowCount="1" ref="A1:N25" displayName="Contributions_2025" name="Contributions_2025" id="5">
  <tableColumns count="14">
    <tableColumn totalsRowLabel="Total" name="Name" id="1"/>
    <tableColumn totalsRowFunction="custom" name="Jan" id="2"/>
    <tableColumn totalsRowFunction="custom" name="Feb" id="3"/>
    <tableColumn totalsRowFunction="custom" name="Mar" id="4"/>
    <tableColumn totalsRowFunction="custom" name="Apr" id="5"/>
    <tableColumn totalsRowFunction="custom" name="May" id="6"/>
    <tableColumn totalsRowFunction="custom" name="Jun" id="7"/>
    <tableColumn totalsRowFunction="custom" name="July" id="8"/>
    <tableColumn totalsRowFunction="custom" name="Aug" id="9"/>
    <tableColumn totalsRowFunction="custom" name="Sep" id="10"/>
    <tableColumn totalsRowFunction="custom" name="Oct" id="11"/>
    <tableColumn totalsRowFunction="custom" name="Nov" id="12"/>
    <tableColumn totalsRowFunction="custom" name="Dec" id="13"/>
    <tableColumn totalsRowFunction="custom" name="Total" id="14"/>
  </tableColumns>
  <tableStyleInfo name="2025-style" showColumnStripes="0" showFirstColumn="1" showLastColumn="1" showRowStripes="1"/>
</table>
</file>

<file path=xl/tables/table6.xml><?xml version="1.0" encoding="utf-8"?>
<table xmlns="http://schemas.openxmlformats.org/spreadsheetml/2006/main" totalsRowCount="1" ref="A1:N25" displayName="Contributions_2024" name="Contributions_2024" id="6">
  <tableColumns count="14">
    <tableColumn totalsRowLabel="Total" name="Name" id="1"/>
    <tableColumn totalsRowFunction="custom" name="Jan" id="2"/>
    <tableColumn totalsRowFunction="custom" name="Feb" id="3"/>
    <tableColumn totalsRowFunction="custom" name="Mar" id="4"/>
    <tableColumn totalsRowFunction="custom" name="Apr" id="5"/>
    <tableColumn totalsRowFunction="custom" name="May" id="6"/>
    <tableColumn totalsRowFunction="custom" name="Jun" id="7"/>
    <tableColumn totalsRowFunction="custom" name="July" id="8"/>
    <tableColumn totalsRowFunction="custom" name="Aug" id="9"/>
    <tableColumn totalsRowFunction="custom" name="Sep" id="10"/>
    <tableColumn totalsRowFunction="custom" name="Oct" id="11"/>
    <tableColumn totalsRowFunction="custom" name="Nov" id="12"/>
    <tableColumn totalsRowFunction="custom" name="Dec" id="13"/>
    <tableColumn totalsRowFunction="custom" name="Total" id="14"/>
  </tableColumns>
  <tableStyleInfo name="2024-style" showColumnStripes="0" showFirstColumn="1" showLastColumn="1" showRowStripes="1"/>
</table>
</file>

<file path=xl/tables/table7.xml><?xml version="1.0" encoding="utf-8"?>
<table xmlns="http://schemas.openxmlformats.org/spreadsheetml/2006/main" totalsRowCount="1" ref="A1:N26" displayName="Contributions_2023" name="Contributions_2023" id="7">
  <tableColumns count="14">
    <tableColumn totalsRowLabel="Total" name="Name" id="1"/>
    <tableColumn totalsRowFunction="custom" name="Jan" id="2"/>
    <tableColumn totalsRowFunction="custom" name="Feb" id="3"/>
    <tableColumn totalsRowFunction="custom" name="Mar" id="4"/>
    <tableColumn totalsRowFunction="custom" name="Apr" id="5"/>
    <tableColumn totalsRowFunction="custom" name="May" id="6"/>
    <tableColumn totalsRowFunction="custom" name="Jun" id="7"/>
    <tableColumn totalsRowFunction="custom" name="July" id="8"/>
    <tableColumn totalsRowFunction="custom" name="Aug" id="9"/>
    <tableColumn totalsRowFunction="custom" name="Sep" id="10"/>
    <tableColumn totalsRowFunction="custom" name="Oct" id="11"/>
    <tableColumn totalsRowFunction="custom" name="Nov" id="12"/>
    <tableColumn totalsRowFunction="custom" name="Dec" id="13"/>
    <tableColumn totalsRowFunction="custom" name="Total" id="14"/>
  </tableColumns>
  <tableStyleInfo name="2023-style" showColumnStripes="0" showFirstColumn="1" showLastColumn="1" showRowStripes="1"/>
</table>
</file>

<file path=xl/tables/table8.xml><?xml version="1.0" encoding="utf-8"?>
<table xmlns="http://schemas.openxmlformats.org/spreadsheetml/2006/main" totalsRowCount="1" ref="A1:N25" displayName="Contributions_2022" name="Contributions_2022" id="8">
  <tableColumns count="14">
    <tableColumn totalsRowLabel="Total" name="Name" id="1"/>
    <tableColumn totalsRowFunction="custom" name="Jan" id="2"/>
    <tableColumn totalsRowFunction="custom" name="Feb" id="3"/>
    <tableColumn totalsRowFunction="custom" name="Mar" id="4"/>
    <tableColumn totalsRowFunction="custom" name="Apr" id="5"/>
    <tableColumn totalsRowFunction="custom" name="May" id="6"/>
    <tableColumn totalsRowFunction="custom" name="Jun" id="7"/>
    <tableColumn totalsRowFunction="custom" name="July" id="8"/>
    <tableColumn name="Aug" id="9"/>
    <tableColumn name="Sep" id="10"/>
    <tableColumn name="Oct" id="11"/>
    <tableColumn name="Nov" id="12"/>
    <tableColumn name="Dec" id="13"/>
    <tableColumn totalsRowFunction="custom" name="Total" id="14"/>
  </tableColumns>
  <tableStyleInfo name="2022-style" showColumnStripes="0" showFirstColumn="1" showLastColumn="1" showRowStripes="1"/>
</table>
</file>

<file path=xl/tables/table9.xml><?xml version="1.0" encoding="utf-8"?>
<table xmlns="http://schemas.openxmlformats.org/spreadsheetml/2006/main" totalsRowCount="1" ref="A1:N25" displayName="Contributions_2021" name="Contributions_2021" id="9">
  <tableColumns count="14">
    <tableColumn totalsRowLabel="Total" name="Name" id="1"/>
    <tableColumn totalsRowFunction="custom" name="Jan" id="2"/>
    <tableColumn totalsRowFunction="custom" name="Feb" id="3"/>
    <tableColumn totalsRowFunction="custom" name="Mar" id="4"/>
    <tableColumn totalsRowFunction="custom" name="Apr" id="5"/>
    <tableColumn totalsRowFunction="custom" name="May" id="6"/>
    <tableColumn totalsRowFunction="custom" name="Jun" id="7"/>
    <tableColumn totalsRowFunction="custom" name="July" id="8"/>
    <tableColumn totalsRowFunction="custom" name="Aug" id="9"/>
    <tableColumn totalsRowFunction="custom" name="Sep" id="10"/>
    <tableColumn totalsRowFunction="custom" name="Oct" id="11"/>
    <tableColumn totalsRowFunction="custom" name="Nov" id="12"/>
    <tableColumn totalsRowFunction="custom" name="Dec" id="13"/>
    <tableColumn totalsRowFunction="custom" name="Total" id="14"/>
  </tableColumns>
  <tableStyleInfo name="2021-style" showColumnStripes="0" showFirstColumn="1" showLastColumn="1" showRowStripes="1"/>
</table>
</file>

<file path=xl/tables/table10.xml><?xml version="1.0" encoding="utf-8"?>
<table xmlns="http://schemas.openxmlformats.org/spreadsheetml/2006/main" totalsRowCount="1" ref="A1:N25" displayName="Contributions_2020" name="Contributions_2020" id="10">
  <tableColumns count="14">
    <tableColumn totalsRowLabel="Total" name="Name" id="1"/>
    <tableColumn totalsRowFunction="custom" name="Jan" id="2"/>
    <tableColumn totalsRowFunction="custom" name="Feb" id="3"/>
    <tableColumn totalsRowFunction="custom" name="Mar" id="4"/>
    <tableColumn totalsRowFunction="custom" name="Apr" id="5"/>
    <tableColumn totalsRowFunction="custom" name="May" id="6"/>
    <tableColumn totalsRowFunction="custom" name="Jun" id="7"/>
    <tableColumn totalsRowFunction="custom" name="July" id="8"/>
    <tableColumn totalsRowFunction="custom" name="Aug" id="9"/>
    <tableColumn totalsRowFunction="custom" name="Sep" id="10"/>
    <tableColumn totalsRowFunction="custom" name="Oct" id="11"/>
    <tableColumn totalsRowFunction="custom" name="Nov" id="12"/>
    <tableColumn totalsRowFunction="custom" name="Dec" id="13"/>
    <tableColumn totalsRowFunction="custom" name="Total" id="14"/>
  </tableColumns>
  <tableStyleInfo name="2020-style" showColumnStripes="0" showFirstColumn="1" showLastColumn="1" showRowStripes="1"/>
</table>
</file>

<file path=xl/tables/table11.xml><?xml version="1.0" encoding="utf-8"?>
<table xmlns="http://schemas.openxmlformats.org/spreadsheetml/2006/main" totalsRowCount="1" ref="A1:N25" displayName="Contributions_2019" name="Contributions_2019" id="11">
  <tableColumns count="14">
    <tableColumn totalsRowLabel="Total" name="Name" id="1"/>
    <tableColumn totalsRowFunction="custom" name="JAN" id="2"/>
    <tableColumn totalsRowFunction="custom" name="FEB" id="3"/>
    <tableColumn totalsRowFunction="custom" name="MAR" id="4"/>
    <tableColumn totalsRowFunction="custom" name="APR" id="5"/>
    <tableColumn totalsRowFunction="custom" name="MAY" id="6"/>
    <tableColumn totalsRowFunction="custom" name="JUNE" id="7"/>
    <tableColumn totalsRowFunction="custom" name="JULY" id="8"/>
    <tableColumn totalsRowFunction="custom" name="AUG" id="9"/>
    <tableColumn totalsRowFunction="custom" name="SEP" id="10"/>
    <tableColumn totalsRowFunction="custom" name="OCT" id="11"/>
    <tableColumn totalsRowFunction="custom" name="NOV" id="12"/>
    <tableColumn totalsRowFunction="custom" name="DEC" id="13"/>
    <tableColumn totalsRowFunction="custom" name="Total" id="14"/>
  </tableColumns>
  <tableStyleInfo name="2019-style" showColumnStripes="0" showFirstColumn="1" showLastColumn="1" showRowStripes="1"/>
</table>
</file>

<file path=xl/tables/table12.xml><?xml version="1.0" encoding="utf-8"?>
<table xmlns="http://schemas.openxmlformats.org/spreadsheetml/2006/main" totalsRowCount="1" ref="A1:N25" displayName="Contributions_2018" name="Contributions_2018" id="12">
  <tableColumns count="14">
    <tableColumn totalsRowLabel="Total" name="Name" id="1"/>
    <tableColumn totalsRowFunction="custom" name="JAN" id="2"/>
    <tableColumn totalsRowFunction="custom" name="FEB" id="3"/>
    <tableColumn totalsRowFunction="custom" name="MAR" id="4"/>
    <tableColumn totalsRowFunction="custom" name="APR" id="5"/>
    <tableColumn totalsRowFunction="custom" name="MAY" id="6"/>
    <tableColumn totalsRowFunction="custom" name="JUNE" id="7"/>
    <tableColumn totalsRowFunction="custom" name="JULY" id="8"/>
    <tableColumn totalsRowFunction="custom" name="AUG" id="9"/>
    <tableColumn totalsRowFunction="custom" name="SEP" id="10"/>
    <tableColumn totalsRowFunction="custom" name="OCT" id="11"/>
    <tableColumn totalsRowFunction="custom" name="NOV" id="12"/>
    <tableColumn totalsRowFunction="custom" name="DEC" id="13"/>
    <tableColumn totalsRowFunction="custom" name="Total" id="14"/>
  </tableColumns>
  <tableStyleInfo name="2018-style" showColumnStripes="0" showFirstColumn="1" showLastColumn="1" showRowStripes="1"/>
</table>
</file>

<file path=xl/tables/table13.xml><?xml version="1.0" encoding="utf-8"?>
<table xmlns="http://schemas.openxmlformats.org/spreadsheetml/2006/main" totalsRowCount="1" ref="A1:N25" displayName="Contributions_2017" name="Contributions_2017" id="13">
  <tableColumns count="14">
    <tableColumn totalsRowLabel="Total" name="Name" id="1"/>
    <tableColumn totalsRowFunction="custom" name="JAN" id="2"/>
    <tableColumn totalsRowFunction="custom" name="FEB" id="3"/>
    <tableColumn totalsRowFunction="custom" name="MAR" id="4"/>
    <tableColumn totalsRowFunction="custom" name="APR" id="5"/>
    <tableColumn totalsRowFunction="custom" name="MAY" id="6"/>
    <tableColumn totalsRowFunction="custom" name="JUNE" id="7"/>
    <tableColumn totalsRowFunction="custom" name="JULY" id="8"/>
    <tableColumn totalsRowFunction="custom" name="AUG" id="9"/>
    <tableColumn totalsRowFunction="custom" name="SEP" id="10"/>
    <tableColumn totalsRowFunction="custom" name="OCT" id="11"/>
    <tableColumn totalsRowFunction="custom" name="NOV" id="12"/>
    <tableColumn totalsRowFunction="custom" name="DEC" id="13"/>
    <tableColumn totalsRowFunction="custom" name="Total" id="14"/>
  </tableColumns>
  <tableStyleInfo name="2017-style" showColumnStripes="0" showFirstColumn="1" showLastColumn="1" showRowStripes="1"/>
</table>
</file>

<file path=xl/tables/table14.xml><?xml version="1.0" encoding="utf-8"?>
<table xmlns="http://schemas.openxmlformats.org/spreadsheetml/2006/main" totalsRowCount="1" ref="A1:H25" displayName="Contributions_2016" name="Contributions_2016" id="14">
  <tableColumns count="8">
    <tableColumn totalsRowLabel="Total" name="Name" id="1"/>
    <tableColumn name="July" id="2"/>
    <tableColumn name="Aug" id="3"/>
    <tableColumn name="Sep" id="4"/>
    <tableColumn name="Oct" id="5"/>
    <tableColumn name="Nov" id="6"/>
    <tableColumn name="Dec" id="7"/>
    <tableColumn totalsRowFunction="custom" name="Total-2016" id="8"/>
  </tableColumns>
  <tableStyleInfo name="2016-style" showColumnStripes="0" showFirstColumn="1" showLastColumn="1" showRowStripes="1"/>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2-01T16:04:49.00" personId="{951fc29c-3432-48bc-a969-9b0a367305e5}" id="{aa020326-9767-427c-82d6-71ad38cb5167}" done="0">
    <x18tc:text xml:space="preserve">This is an approximate date</x18tc:text>
  </x18tc:threadedComment>
  <x18tc:threadedComment ref="H2" dT="2025-01-04T14:09:08.00" personId="{951fc29c-3432-48bc-a969-9b0a367305e5}" id="{026a4375-d92a-4ece-b507-f58ac645ae04}" done="0">
    <x18tc:text xml:space="preserve">As Das is no longer available, we have written off the loan.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8" dT="2025-10-02T07:32:25.00" personId="{951fc29c-3432-48bc-a969-9b0a367305e5}" id="{3d0dfc00-eaba-4302-85bf-debd03d67ce5}" done="0">
    <x18tc:text xml:space="preserve">Need to check how much interest in it</x18tc:text>
  </x18tc:threadedComment>
  <x18tc:threadedComment ref="I8" dT="2025-10-02T07:50:51.00" personId="{951fc29c-3432-48bc-a969-9b0a367305e5}" id="{e19bb667-71f0-43ce-9432-213598f8099a}" done="0">
    <x18tc:text xml:space="preserve">Need to separate interest and contribution</x18tc:text>
  </x18tc:threadedComment>
  <x18tc:threadedComment ref="K12" dT="2025-10-02T07:34:16.00" personId="{951fc29c-3432-48bc-a969-9b0a367305e5}" id="{6f909b84-d2f7-4860-b830-22ae5a9ccc13}" done="1">
    <x18tc:text xml:space="preserve">Need to separate the interest amount in this</x18tc:text>
  </x18tc:threadedComment>
  <x18tc:threadedComment ref="J13" dT="2025-10-02T07:30:23.00" personId="{951fc29c-3432-48bc-a969-9b0a367305e5}" id="{becf1b4a-376d-439c-8a2e-2f3408f16ad4}" done="1">
    <x18tc:text xml:space="preserve">In this interest amount should be separate it.</x18tc:text>
  </x18tc:threadedComment>
  <x18tc:threadedComment ref="I13" dT="2025-10-02T07:29:26.00" personId="{951fc29c-3432-48bc-a969-9b0a367305e5}" id="{0399ee01-b76b-43d0-9e97-3bd222642dbf}" done="0">
    <x18tc:text xml:space="preserve">In this, interest needs to separate out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4" dT="2024-12-30T03:18:15.00" personId="{951fc29c-3432-48bc-a969-9b0a367305e5}" id="{7f305904-6bd4-478a-92c7-90e936ef62cc}" done="0">
    <x18tc:text xml:space="preserve">5K Interest from Sunil</x18tc:text>
  </x18tc:threadedComment>
  <x18tc:threadedComment ref="G13" dT="2024-12-30T03:06:51.00" personId="{951fc29c-3432-48bc-a969-9b0a367305e5}" id="{57a4d924-a727-4d96-a35a-ea1a8accd7bb}" done="0">
    <x18tc:text xml:space="preserve">Need to check interest and contribution share</x18tc:text>
  </x18tc:threadedComment>
  <x18tc:threadedComment ref="D5" dT="2024-12-30T03:14:34.00" personId="{951fc29c-3432-48bc-a969-9b0a367305e5}" id="{1509962d-37c6-4f3c-b7b5-7d5ce1bc9fb8}" done="1">
    <x18tc:text xml:space="preserve">Whether for March or April?</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2" dT="2024-12-30T06:04:09.00" personId="{951fc29c-3432-48bc-a969-9b0a367305e5}" id="{9e16f5f0-d0db-429e-8463-7f883820694f}" done="0">
    <x18tc:text xml:space="preserve">Need to check whether these are two or only one transaction</x18tc:text>
  </x18tc:threadedComment>
  <x18tc:threadedComment ref="F24" dT="2024-12-30T06:28:58.00" personId="{951fc29c-3432-48bc-a969-9b0a367305e5}" id="{dffede9e-4a71-4975-9af2-9aa2ef71b1b0}" done="0">
    <x18tc:text xml:space="preserve">First contribution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 Id="rId7"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 Id="rId7"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4.vml"/><Relationship Id="rId7"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anuum.so/"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4" max="4" width="15.13"/>
    <col customWidth="1" min="5" max="5" width="14.38"/>
    <col customWidth="1" min="7" max="7" width="15.13"/>
    <col customWidth="1" min="8" max="8" width="14.63"/>
    <col customWidth="1" min="9" max="9" width="16.63"/>
    <col customWidth="1" min="10" max="11" width="14.38"/>
  </cols>
  <sheetData>
    <row r="1">
      <c r="A1" s="1" t="s">
        <v>0</v>
      </c>
      <c r="B1" s="2"/>
      <c r="C1" s="3"/>
      <c r="D1" s="4" t="s">
        <v>1</v>
      </c>
      <c r="F1" s="3"/>
      <c r="G1" s="5" t="s">
        <v>2</v>
      </c>
      <c r="I1" s="3"/>
      <c r="J1" s="3"/>
      <c r="K1" s="3"/>
      <c r="L1" s="3"/>
      <c r="M1" s="3"/>
      <c r="N1" s="3"/>
      <c r="O1" s="3"/>
    </row>
    <row r="2">
      <c r="A2" s="6" t="s">
        <v>3</v>
      </c>
      <c r="B2" s="7">
        <f>Contributions!B25-Contributions!B24</f>
        <v>880317</v>
      </c>
      <c r="C2" s="3"/>
      <c r="D2" s="6" t="s">
        <v>4</v>
      </c>
      <c r="E2" s="8">
        <f>sum(Loans!M:M)</f>
        <v>550000</v>
      </c>
      <c r="F2" s="3"/>
      <c r="G2" s="6" t="s">
        <v>5</v>
      </c>
      <c r="H2" s="8">
        <f>SUm(Donations!E:E)</f>
        <v>145000</v>
      </c>
      <c r="I2" s="3"/>
      <c r="J2" s="3"/>
      <c r="K2" s="3"/>
      <c r="L2" s="3"/>
      <c r="M2" s="3"/>
      <c r="N2" s="3"/>
      <c r="O2" s="3"/>
    </row>
    <row r="3">
      <c r="A3" s="6" t="s">
        <v>6</v>
      </c>
      <c r="B3" s="7">
        <f>Contributions!B24</f>
        <v>104038</v>
      </c>
      <c r="C3" s="3"/>
      <c r="D3" s="6" t="s">
        <v>7</v>
      </c>
      <c r="E3" s="8">
        <f>sum(Loans!N:N)</f>
        <v>70000</v>
      </c>
      <c r="F3" s="3"/>
      <c r="G3" s="6"/>
      <c r="H3" s="8"/>
      <c r="I3" s="3"/>
      <c r="J3" s="3"/>
      <c r="K3" s="3"/>
      <c r="L3" s="3"/>
      <c r="M3" s="3"/>
      <c r="N3" s="3"/>
      <c r="O3" s="3"/>
    </row>
    <row r="4">
      <c r="A4" s="9"/>
      <c r="B4" s="2"/>
      <c r="C4" s="3"/>
      <c r="D4" s="9"/>
      <c r="E4" s="2"/>
      <c r="F4" s="3"/>
      <c r="G4" s="9"/>
      <c r="H4" s="2"/>
      <c r="I4" s="3"/>
      <c r="J4" s="3"/>
      <c r="K4" s="3"/>
      <c r="L4" s="3"/>
      <c r="M4" s="3"/>
      <c r="N4" s="3"/>
      <c r="O4" s="3"/>
    </row>
    <row r="5">
      <c r="A5" s="10" t="s">
        <v>8</v>
      </c>
      <c r="B5" s="11">
        <f>SUM(B2:B3)</f>
        <v>984355</v>
      </c>
      <c r="C5" s="3"/>
      <c r="D5" s="10" t="s">
        <v>8</v>
      </c>
      <c r="E5" s="12">
        <f>SUM(E2:E3)</f>
        <v>620000</v>
      </c>
      <c r="F5" s="3"/>
      <c r="G5" s="10" t="s">
        <v>8</v>
      </c>
      <c r="H5" s="12">
        <f>SUM(H2:H3)</f>
        <v>145000</v>
      </c>
      <c r="I5" s="3"/>
      <c r="J5" s="3"/>
      <c r="K5" s="3"/>
      <c r="L5" s="3"/>
      <c r="M5" s="3"/>
      <c r="N5" s="3"/>
      <c r="O5" s="3"/>
    </row>
    <row r="6">
      <c r="A6" s="3"/>
      <c r="B6" s="3"/>
      <c r="C6" s="3"/>
      <c r="D6" s="3"/>
      <c r="E6" s="3"/>
      <c r="F6" s="3"/>
      <c r="G6" s="3"/>
      <c r="H6" s="3"/>
      <c r="I6" s="3"/>
      <c r="J6" s="3"/>
      <c r="K6" s="3"/>
      <c r="L6" s="3"/>
      <c r="M6" s="3"/>
      <c r="N6" s="3"/>
      <c r="O6" s="3"/>
    </row>
    <row r="7">
      <c r="A7" s="3"/>
      <c r="B7" s="3"/>
      <c r="C7" s="3"/>
      <c r="D7" s="3"/>
      <c r="E7" s="3"/>
      <c r="F7" s="3"/>
      <c r="G7" s="3"/>
      <c r="H7" s="3"/>
      <c r="I7" s="3"/>
      <c r="J7" s="3"/>
      <c r="K7" s="3"/>
      <c r="L7" s="3"/>
      <c r="M7" s="3"/>
      <c r="N7" s="3"/>
      <c r="O7" s="3"/>
    </row>
    <row r="8">
      <c r="A8" s="13" t="s">
        <v>9</v>
      </c>
      <c r="B8" s="2"/>
      <c r="C8" s="3"/>
      <c r="D8" s="3"/>
      <c r="E8" s="3"/>
      <c r="F8" s="3"/>
      <c r="G8" s="3"/>
      <c r="H8" s="3"/>
      <c r="I8" s="3"/>
      <c r="J8" s="3"/>
      <c r="K8" s="3"/>
      <c r="L8" s="3"/>
      <c r="M8" s="3"/>
      <c r="N8" s="3"/>
      <c r="O8" s="3"/>
    </row>
    <row r="9">
      <c r="A9" s="14" t="s">
        <v>0</v>
      </c>
      <c r="B9" s="15">
        <f>B5</f>
        <v>984355</v>
      </c>
      <c r="C9" s="3"/>
      <c r="D9" s="3"/>
      <c r="E9" s="3"/>
      <c r="F9" s="3"/>
      <c r="G9" s="3"/>
      <c r="H9" s="3"/>
      <c r="I9" s="3"/>
      <c r="J9" s="3"/>
      <c r="K9" s="3"/>
      <c r="L9" s="3"/>
      <c r="M9" s="3"/>
      <c r="N9" s="3"/>
      <c r="O9" s="3"/>
    </row>
    <row r="10">
      <c r="A10" s="14" t="s">
        <v>10</v>
      </c>
      <c r="B10" s="16">
        <v>214349.0</v>
      </c>
      <c r="C10" s="3"/>
      <c r="D10" s="3"/>
      <c r="E10" s="3"/>
      <c r="F10" s="3"/>
      <c r="G10" s="3"/>
      <c r="H10" s="3"/>
      <c r="I10" s="3"/>
      <c r="J10" s="3"/>
      <c r="K10" s="3"/>
      <c r="L10" s="3"/>
      <c r="M10" s="3"/>
      <c r="N10" s="3"/>
      <c r="O10" s="3"/>
    </row>
    <row r="11">
      <c r="A11" s="14" t="s">
        <v>11</v>
      </c>
      <c r="B11" s="15">
        <f>E5</f>
        <v>620000</v>
      </c>
      <c r="C11" s="3"/>
      <c r="D11" s="3"/>
      <c r="E11" s="3"/>
      <c r="F11" s="3"/>
      <c r="G11" s="3"/>
      <c r="H11" s="3"/>
      <c r="I11" s="3"/>
      <c r="J11" s="3"/>
      <c r="K11" s="3"/>
      <c r="L11" s="3"/>
      <c r="M11" s="3"/>
      <c r="N11" s="3"/>
      <c r="O11" s="3"/>
    </row>
    <row r="12">
      <c r="A12" s="14" t="s">
        <v>2</v>
      </c>
      <c r="B12" s="15">
        <f>H5</f>
        <v>145000</v>
      </c>
      <c r="C12" s="3"/>
      <c r="D12" s="3"/>
      <c r="E12" s="3"/>
      <c r="F12" s="3"/>
      <c r="G12" s="3"/>
      <c r="H12" s="3"/>
      <c r="I12" s="3"/>
      <c r="J12" s="3"/>
      <c r="K12" s="3"/>
      <c r="L12" s="3"/>
      <c r="M12" s="3"/>
      <c r="N12" s="3"/>
      <c r="O12" s="3"/>
    </row>
    <row r="13">
      <c r="A13" s="17"/>
      <c r="B13" s="2"/>
      <c r="C13" s="3"/>
      <c r="D13" s="3"/>
      <c r="E13" s="3"/>
      <c r="F13" s="3"/>
      <c r="G13" s="3"/>
      <c r="H13" s="3"/>
      <c r="I13" s="3"/>
      <c r="J13" s="3"/>
      <c r="K13" s="3"/>
      <c r="L13" s="3"/>
      <c r="M13" s="3"/>
      <c r="N13" s="3"/>
      <c r="O13" s="3"/>
    </row>
    <row r="14">
      <c r="A14" s="18" t="s">
        <v>12</v>
      </c>
      <c r="B14" s="19">
        <f>B9-B10-B11-B12</f>
        <v>5006</v>
      </c>
      <c r="C14" s="3"/>
      <c r="D14" s="3"/>
      <c r="E14" s="3"/>
      <c r="F14" s="3"/>
      <c r="G14" s="3"/>
      <c r="H14" s="3"/>
      <c r="I14" s="3"/>
      <c r="J14" s="3"/>
      <c r="K14" s="3"/>
      <c r="L14" s="3"/>
      <c r="M14" s="3"/>
      <c r="N14" s="3"/>
      <c r="O14" s="3"/>
    </row>
    <row r="15">
      <c r="A15" s="3"/>
      <c r="B15" s="3"/>
      <c r="C15" s="3"/>
      <c r="D15" s="3"/>
      <c r="E15" s="3"/>
      <c r="F15" s="3"/>
      <c r="G15" s="3"/>
      <c r="H15" s="3"/>
      <c r="I15" s="3"/>
      <c r="J15" s="3"/>
      <c r="K15" s="3"/>
      <c r="L15" s="3"/>
      <c r="M15" s="3"/>
      <c r="N15" s="3"/>
      <c r="O15" s="3"/>
    </row>
    <row r="16">
      <c r="A16" s="3"/>
      <c r="B16" s="3"/>
      <c r="C16" s="3"/>
      <c r="D16" s="3"/>
      <c r="E16" s="3"/>
      <c r="F16" s="3"/>
      <c r="G16" s="3"/>
      <c r="H16" s="3"/>
      <c r="I16" s="3"/>
      <c r="J16" s="3"/>
      <c r="K16" s="3"/>
      <c r="L16" s="3"/>
      <c r="M16" s="3"/>
      <c r="N16" s="3"/>
      <c r="O16" s="3"/>
    </row>
    <row r="17">
      <c r="A17" s="3"/>
      <c r="B17" s="3"/>
      <c r="C17" s="3"/>
      <c r="D17" s="3"/>
      <c r="E17" s="3"/>
      <c r="F17" s="3"/>
      <c r="G17" s="3"/>
      <c r="H17" s="3"/>
      <c r="I17" s="3"/>
      <c r="J17" s="3"/>
      <c r="K17" s="3"/>
      <c r="L17" s="3"/>
      <c r="M17" s="3"/>
      <c r="N17" s="3"/>
      <c r="O17" s="3"/>
    </row>
    <row r="18">
      <c r="A18" s="3"/>
      <c r="B18" s="3"/>
      <c r="C18" s="3"/>
      <c r="D18" s="3"/>
      <c r="E18" s="3"/>
      <c r="F18" s="3"/>
      <c r="G18" s="3"/>
      <c r="H18" s="3"/>
      <c r="I18" s="3"/>
      <c r="J18" s="3"/>
      <c r="K18" s="3"/>
      <c r="L18" s="3"/>
      <c r="M18" s="3"/>
      <c r="N18" s="3"/>
      <c r="O18" s="3"/>
    </row>
    <row r="19">
      <c r="A19" s="3"/>
      <c r="B19" s="3"/>
      <c r="C19" s="3"/>
      <c r="D19" s="3"/>
      <c r="E19" s="3"/>
      <c r="F19" s="3"/>
      <c r="G19" s="3"/>
      <c r="H19" s="3"/>
      <c r="I19" s="3"/>
      <c r="J19" s="3"/>
      <c r="K19" s="3"/>
      <c r="L19" s="3"/>
      <c r="M19" s="3"/>
      <c r="N19" s="3"/>
      <c r="O19" s="3"/>
    </row>
    <row r="20">
      <c r="A20" s="3"/>
      <c r="B20" s="3"/>
      <c r="C20" s="3"/>
      <c r="D20" s="3"/>
      <c r="E20" s="3"/>
      <c r="F20" s="3"/>
      <c r="G20" s="3"/>
      <c r="H20" s="3"/>
      <c r="I20" s="3"/>
      <c r="J20" s="3"/>
      <c r="K20" s="3"/>
      <c r="L20" s="3"/>
      <c r="M20" s="3"/>
      <c r="N20" s="3"/>
      <c r="O20" s="3"/>
    </row>
  </sheetData>
  <mergeCells count="8">
    <mergeCell ref="A1:B1"/>
    <mergeCell ref="D1:E1"/>
    <mergeCell ref="G1:H1"/>
    <mergeCell ref="A4:B4"/>
    <mergeCell ref="D4:E4"/>
    <mergeCell ref="G4:H4"/>
    <mergeCell ref="A8:B8"/>
    <mergeCell ref="A13:B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5"/>
    <col customWidth="1" min="2" max="2" width="12.38"/>
    <col customWidth="1" min="3" max="13" width="12.5"/>
    <col customWidth="1" min="14" max="25" width="11.75"/>
  </cols>
  <sheetData>
    <row r="1" ht="22.5" customHeight="1">
      <c r="A1" s="20" t="s">
        <v>13</v>
      </c>
      <c r="B1" s="21" t="s">
        <v>14</v>
      </c>
      <c r="C1" s="21" t="s">
        <v>15</v>
      </c>
      <c r="D1" s="21" t="s">
        <v>16</v>
      </c>
      <c r="E1" s="21" t="s">
        <v>17</v>
      </c>
      <c r="F1" s="21" t="s">
        <v>18</v>
      </c>
      <c r="G1" s="21" t="s">
        <v>19</v>
      </c>
      <c r="H1" s="21" t="s">
        <v>20</v>
      </c>
      <c r="I1" s="20" t="s">
        <v>21</v>
      </c>
      <c r="J1" s="20" t="s">
        <v>22</v>
      </c>
      <c r="K1" s="20" t="s">
        <v>23</v>
      </c>
      <c r="L1" s="20" t="s">
        <v>24</v>
      </c>
      <c r="M1" s="20" t="s">
        <v>25</v>
      </c>
    </row>
    <row r="2" ht="22.5" customHeight="1">
      <c r="A2" s="22" t="s">
        <v>26</v>
      </c>
      <c r="B2" s="23">
        <f t="shared" ref="B2:B24" si="1">SUM(C2:X2)</f>
        <v>59000</v>
      </c>
      <c r="C2" s="23">
        <f>'2016'!H2</f>
        <v>8000</v>
      </c>
      <c r="D2" s="24">
        <f>'2017'!N2</f>
        <v>8500</v>
      </c>
      <c r="E2" s="24">
        <f>'2018'!N2</f>
        <v>6000</v>
      </c>
      <c r="F2" s="24">
        <f>'2019'!N2</f>
        <v>6000</v>
      </c>
      <c r="G2" s="24">
        <f>'2020'!N2</f>
        <v>5500</v>
      </c>
      <c r="H2" s="24">
        <f>'2021'!N2</f>
        <v>4500</v>
      </c>
      <c r="I2" s="24">
        <f>'2022'!N2</f>
        <v>500</v>
      </c>
      <c r="J2" s="24">
        <f>'2023'!N2</f>
        <v>1500</v>
      </c>
      <c r="K2" s="24">
        <f>'2024'!N2</f>
        <v>6000</v>
      </c>
      <c r="L2" s="24">
        <f>'2025'!N2</f>
        <v>10000</v>
      </c>
      <c r="M2" s="25">
        <f>'2026'!N2</f>
        <v>2500</v>
      </c>
    </row>
    <row r="3" ht="22.5" customHeight="1">
      <c r="A3" s="22" t="s">
        <v>27</v>
      </c>
      <c r="B3" s="23">
        <f t="shared" si="1"/>
        <v>44000</v>
      </c>
      <c r="C3" s="23">
        <f>'2016'!H3</f>
        <v>3500</v>
      </c>
      <c r="D3" s="24">
        <f>'2017'!N3</f>
        <v>6000</v>
      </c>
      <c r="E3" s="24">
        <f>'2018'!N3</f>
        <v>4500</v>
      </c>
      <c r="F3" s="24">
        <f>'2019'!N3</f>
        <v>0</v>
      </c>
      <c r="G3" s="24">
        <f>'2020'!N3</f>
        <v>4000</v>
      </c>
      <c r="H3" s="24">
        <f>'2021'!N3</f>
        <v>4500</v>
      </c>
      <c r="I3" s="24">
        <f>'2022'!N3</f>
        <v>1500</v>
      </c>
      <c r="J3" s="24">
        <f>'2023'!N3</f>
        <v>3000</v>
      </c>
      <c r="K3" s="24">
        <f>'2024'!N3</f>
        <v>1000</v>
      </c>
      <c r="L3" s="24">
        <f>'2025'!N3</f>
        <v>16000</v>
      </c>
      <c r="M3" s="26">
        <f>'2026'!N3</f>
        <v>0</v>
      </c>
    </row>
    <row r="4" ht="22.5" customHeight="1">
      <c r="A4" s="22" t="s">
        <v>28</v>
      </c>
      <c r="B4" s="23">
        <f t="shared" si="1"/>
        <v>59000</v>
      </c>
      <c r="C4" s="23">
        <f>'2016'!H4</f>
        <v>3500</v>
      </c>
      <c r="D4" s="24">
        <f>'2017'!N4</f>
        <v>6000</v>
      </c>
      <c r="E4" s="24">
        <f>'2018'!N4</f>
        <v>6000</v>
      </c>
      <c r="F4" s="24">
        <f>'2019'!N4</f>
        <v>6000</v>
      </c>
      <c r="G4" s="24">
        <f>'2020'!N4</f>
        <v>6000</v>
      </c>
      <c r="H4" s="24">
        <f>'2021'!N4</f>
        <v>6000</v>
      </c>
      <c r="I4" s="24">
        <f>'2022'!N4</f>
        <v>5500</v>
      </c>
      <c r="J4" s="24">
        <f>'2023'!N4</f>
        <v>5500</v>
      </c>
      <c r="K4" s="24">
        <f>'2024'!N4</f>
        <v>6000</v>
      </c>
      <c r="L4" s="24">
        <f>'2025'!N4</f>
        <v>6000</v>
      </c>
      <c r="M4" s="26">
        <f>'2026'!N4</f>
        <v>2500</v>
      </c>
    </row>
    <row r="5" ht="22.5" customHeight="1">
      <c r="A5" s="22" t="s">
        <v>29</v>
      </c>
      <c r="B5" s="23">
        <f t="shared" si="1"/>
        <v>57500</v>
      </c>
      <c r="C5" s="23">
        <f>'2016'!H5</f>
        <v>4000</v>
      </c>
      <c r="D5" s="24">
        <f>'2017'!N5</f>
        <v>11000</v>
      </c>
      <c r="E5" s="24">
        <f>'2018'!N5</f>
        <v>10500</v>
      </c>
      <c r="F5" s="24">
        <f>'2019'!N5</f>
        <v>3000</v>
      </c>
      <c r="G5" s="24">
        <f>'2020'!N5</f>
        <v>3000</v>
      </c>
      <c r="H5" s="24">
        <f>'2021'!N5</f>
        <v>6000</v>
      </c>
      <c r="I5" s="24">
        <f>'2022'!N5</f>
        <v>2500</v>
      </c>
      <c r="J5" s="24">
        <f>'2023'!N5</f>
        <v>4000</v>
      </c>
      <c r="K5" s="24">
        <f>'2024'!N5</f>
        <v>5500</v>
      </c>
      <c r="L5" s="24">
        <f>'2025'!N5</f>
        <v>5500</v>
      </c>
      <c r="M5" s="26">
        <f>'2026'!N5</f>
        <v>2500</v>
      </c>
    </row>
    <row r="6" ht="22.5" customHeight="1">
      <c r="A6" s="22" t="s">
        <v>30</v>
      </c>
      <c r="B6" s="23">
        <f t="shared" si="1"/>
        <v>20500</v>
      </c>
      <c r="C6" s="23">
        <f>'2016'!H6</f>
        <v>6000</v>
      </c>
      <c r="D6" s="24">
        <f>'2017'!N6</f>
        <v>3000</v>
      </c>
      <c r="E6" s="24">
        <f>'2018'!N6</f>
        <v>0</v>
      </c>
      <c r="F6" s="24">
        <f>'2019'!N6</f>
        <v>0</v>
      </c>
      <c r="G6" s="24">
        <f>'2020'!N6</f>
        <v>4000</v>
      </c>
      <c r="H6" s="24">
        <f>'2021'!N6</f>
        <v>5000</v>
      </c>
      <c r="I6" s="24">
        <f>'2022'!N6</f>
        <v>2500</v>
      </c>
      <c r="J6" s="24">
        <f>'2023'!N6</f>
        <v>0</v>
      </c>
      <c r="K6" s="24">
        <f>'2024'!N6</f>
        <v>0</v>
      </c>
      <c r="L6" s="24">
        <f>'2025'!N6</f>
        <v>0</v>
      </c>
      <c r="M6" s="26">
        <f>'2026'!N6</f>
        <v>0</v>
      </c>
    </row>
    <row r="7" ht="22.5" customHeight="1">
      <c r="A7" s="22" t="s">
        <v>31</v>
      </c>
      <c r="B7" s="23">
        <f t="shared" si="1"/>
        <v>27500</v>
      </c>
      <c r="C7" s="23">
        <f>'2016'!H7</f>
        <v>4500</v>
      </c>
      <c r="D7" s="24">
        <f>'2017'!N7</f>
        <v>9000</v>
      </c>
      <c r="E7" s="24">
        <f>'2018'!N7</f>
        <v>5000</v>
      </c>
      <c r="F7" s="24">
        <f>'2019'!N7</f>
        <v>3000</v>
      </c>
      <c r="G7" s="24">
        <f>'2020'!N7</f>
        <v>6000</v>
      </c>
      <c r="H7" s="24">
        <f>'2021'!N7</f>
        <v>0</v>
      </c>
      <c r="I7" s="24">
        <f>'2022'!N7</f>
        <v>0</v>
      </c>
      <c r="J7" s="24">
        <f>'2023'!N7</f>
        <v>0</v>
      </c>
      <c r="K7" s="24">
        <f>'2024'!N7</f>
        <v>0</v>
      </c>
      <c r="L7" s="24">
        <f>'2025'!N7</f>
        <v>0</v>
      </c>
      <c r="M7" s="26">
        <f>'2026'!N7</f>
        <v>0</v>
      </c>
    </row>
    <row r="8" ht="22.5" customHeight="1">
      <c r="A8" s="22" t="s">
        <v>32</v>
      </c>
      <c r="B8" s="23">
        <f t="shared" si="1"/>
        <v>57900</v>
      </c>
      <c r="C8" s="23">
        <f>'2016'!H8</f>
        <v>5000</v>
      </c>
      <c r="D8" s="24">
        <f>'2017'!N8</f>
        <v>3500</v>
      </c>
      <c r="E8" s="24">
        <f>'2018'!N8</f>
        <v>5000</v>
      </c>
      <c r="F8" s="24">
        <f>'2019'!N8</f>
        <v>4500</v>
      </c>
      <c r="G8" s="24">
        <f>'2020'!N8</f>
        <v>6900</v>
      </c>
      <c r="H8" s="24">
        <f>'2021'!N8</f>
        <v>5800</v>
      </c>
      <c r="I8" s="24">
        <f>'2022'!N8</f>
        <v>7000</v>
      </c>
      <c r="J8" s="24">
        <f>'2023'!N8</f>
        <v>6000</v>
      </c>
      <c r="K8" s="24">
        <f>'2024'!N8</f>
        <v>3500</v>
      </c>
      <c r="L8" s="24">
        <f>'2025'!N8</f>
        <v>6950</v>
      </c>
      <c r="M8" s="26">
        <f>'2026'!N8</f>
        <v>3750</v>
      </c>
    </row>
    <row r="9" ht="22.5" customHeight="1">
      <c r="A9" s="22" t="s">
        <v>33</v>
      </c>
      <c r="B9" s="23">
        <f t="shared" si="1"/>
        <v>36050</v>
      </c>
      <c r="C9" s="23">
        <f>'2016'!H9</f>
        <v>3500</v>
      </c>
      <c r="D9" s="24">
        <f>'2017'!N9</f>
        <v>6050</v>
      </c>
      <c r="E9" s="24">
        <f>'2018'!N9</f>
        <v>6000</v>
      </c>
      <c r="F9" s="24">
        <f>'2019'!N9</f>
        <v>6500</v>
      </c>
      <c r="G9" s="24">
        <f>'2020'!N9</f>
        <v>5000</v>
      </c>
      <c r="H9" s="24">
        <f>'2021'!N9</f>
        <v>6000</v>
      </c>
      <c r="I9" s="24">
        <f>'2022'!N9</f>
        <v>2000</v>
      </c>
      <c r="J9" s="24">
        <f>'2023'!N9</f>
        <v>0</v>
      </c>
      <c r="K9" s="24">
        <f>'2024'!N9</f>
        <v>0</v>
      </c>
      <c r="L9" s="24">
        <f>'2025'!N9</f>
        <v>1000</v>
      </c>
      <c r="M9" s="26">
        <f>'2026'!N9</f>
        <v>0</v>
      </c>
    </row>
    <row r="10" ht="22.5" customHeight="1">
      <c r="A10" s="22" t="s">
        <v>34</v>
      </c>
      <c r="B10" s="23">
        <f t="shared" si="1"/>
        <v>16000</v>
      </c>
      <c r="C10" s="23">
        <f>'2016'!H10</f>
        <v>4000</v>
      </c>
      <c r="D10" s="24">
        <f>'2017'!N10</f>
        <v>4000</v>
      </c>
      <c r="E10" s="24">
        <f>'2018'!N10</f>
        <v>3000</v>
      </c>
      <c r="F10" s="24">
        <f>'2019'!N10</f>
        <v>5000</v>
      </c>
      <c r="G10" s="24">
        <f>'2020'!N10</f>
        <v>0</v>
      </c>
      <c r="H10" s="24">
        <f>'2021'!N10</f>
        <v>0</v>
      </c>
      <c r="I10" s="24">
        <f>'2022'!N10</f>
        <v>0</v>
      </c>
      <c r="J10" s="24">
        <f>'2023'!N10</f>
        <v>0</v>
      </c>
      <c r="K10" s="24">
        <f>'2024'!N10</f>
        <v>0</v>
      </c>
      <c r="L10" s="24">
        <f>'2025'!N10</f>
        <v>0</v>
      </c>
      <c r="M10" s="26">
        <f>'2026'!N10</f>
        <v>0</v>
      </c>
    </row>
    <row r="11" ht="22.5" customHeight="1">
      <c r="A11" s="22" t="s">
        <v>35</v>
      </c>
      <c r="B11" s="23">
        <f t="shared" si="1"/>
        <v>59000</v>
      </c>
      <c r="C11" s="23">
        <f>'2016'!H11</f>
        <v>3500</v>
      </c>
      <c r="D11" s="24">
        <f>'2017'!N11</f>
        <v>6000</v>
      </c>
      <c r="E11" s="24">
        <f>'2018'!N11</f>
        <v>6000</v>
      </c>
      <c r="F11" s="24">
        <f>'2019'!N11</f>
        <v>6000</v>
      </c>
      <c r="G11" s="24">
        <f>'2020'!N11</f>
        <v>6000</v>
      </c>
      <c r="H11" s="24">
        <f>'2021'!N11</f>
        <v>6000</v>
      </c>
      <c r="I11" s="24">
        <f>'2022'!N11</f>
        <v>5500</v>
      </c>
      <c r="J11" s="24">
        <f>'2023'!N11</f>
        <v>5500</v>
      </c>
      <c r="K11" s="24">
        <f>'2024'!N11</f>
        <v>6000</v>
      </c>
      <c r="L11" s="24">
        <f>'2025'!N11</f>
        <v>6000</v>
      </c>
      <c r="M11" s="26">
        <f>'2026'!N11</f>
        <v>2500</v>
      </c>
    </row>
    <row r="12" ht="22.5" customHeight="1">
      <c r="A12" s="22" t="s">
        <v>36</v>
      </c>
      <c r="B12" s="23">
        <f t="shared" si="1"/>
        <v>60560</v>
      </c>
      <c r="C12" s="23">
        <f>'2016'!H12</f>
        <v>3500</v>
      </c>
      <c r="D12" s="24">
        <f>'2017'!N12</f>
        <v>6000</v>
      </c>
      <c r="E12" s="24">
        <f>'2018'!N12</f>
        <v>6000</v>
      </c>
      <c r="F12" s="24">
        <f>'2019'!N12</f>
        <v>0</v>
      </c>
      <c r="G12" s="24">
        <f>'2020'!N12</f>
        <v>12000</v>
      </c>
      <c r="H12" s="24">
        <f>'2021'!N12</f>
        <v>6000</v>
      </c>
      <c r="I12" s="24">
        <f>'2022'!N12</f>
        <v>5500</v>
      </c>
      <c r="J12" s="24">
        <f>'2023'!N12</f>
        <v>5500</v>
      </c>
      <c r="K12" s="24">
        <f>'2024'!N12</f>
        <v>5000</v>
      </c>
      <c r="L12" s="24">
        <f>'2025'!N12</f>
        <v>7310</v>
      </c>
      <c r="M12" s="26">
        <f>'2026'!N12</f>
        <v>3750</v>
      </c>
    </row>
    <row r="13" ht="22.5" customHeight="1">
      <c r="A13" s="22" t="s">
        <v>37</v>
      </c>
      <c r="B13" s="23">
        <f t="shared" si="1"/>
        <v>42801</v>
      </c>
      <c r="C13" s="23">
        <f>'2016'!H13</f>
        <v>3500</v>
      </c>
      <c r="D13" s="24">
        <f>'2017'!N13</f>
        <v>6000</v>
      </c>
      <c r="E13" s="24">
        <f>'2018'!N13</f>
        <v>5500</v>
      </c>
      <c r="F13" s="24">
        <f>'2019'!N13</f>
        <v>2000</v>
      </c>
      <c r="G13" s="24">
        <f>'2020'!N13</f>
        <v>2000</v>
      </c>
      <c r="H13" s="24">
        <f>'2021'!N13</f>
        <v>1000</v>
      </c>
      <c r="I13" s="24">
        <f>'2022'!N13</f>
        <v>5000</v>
      </c>
      <c r="J13" s="24">
        <f>'2023'!N13</f>
        <v>2500</v>
      </c>
      <c r="K13" s="24">
        <f>'2024'!N13</f>
        <v>6300</v>
      </c>
      <c r="L13" s="24">
        <f>'2025'!N13</f>
        <v>7501</v>
      </c>
      <c r="M13" s="26">
        <f>'2026'!N13</f>
        <v>1500</v>
      </c>
    </row>
    <row r="14" ht="22.5" customHeight="1">
      <c r="A14" s="22" t="s">
        <v>38</v>
      </c>
      <c r="B14" s="23">
        <f t="shared" si="1"/>
        <v>60000</v>
      </c>
      <c r="C14" s="23">
        <f>'2016'!H14</f>
        <v>4000</v>
      </c>
      <c r="D14" s="24">
        <f>'2017'!N14</f>
        <v>6500</v>
      </c>
      <c r="E14" s="24">
        <f>'2018'!N14</f>
        <v>6000</v>
      </c>
      <c r="F14" s="24">
        <f>'2019'!N14</f>
        <v>6000</v>
      </c>
      <c r="G14" s="24">
        <f>'2020'!N14</f>
        <v>6000</v>
      </c>
      <c r="H14" s="24">
        <f>'2021'!N14</f>
        <v>6000</v>
      </c>
      <c r="I14" s="24">
        <f>'2022'!N14</f>
        <v>5500</v>
      </c>
      <c r="J14" s="24">
        <f>'2023'!N14</f>
        <v>5500</v>
      </c>
      <c r="K14" s="24">
        <f>'2024'!N14</f>
        <v>6000</v>
      </c>
      <c r="L14" s="24">
        <f>'2025'!N14</f>
        <v>6000</v>
      </c>
      <c r="M14" s="26">
        <f>'2026'!N14</f>
        <v>2500</v>
      </c>
    </row>
    <row r="15" ht="22.5" customHeight="1">
      <c r="A15" s="22" t="s">
        <v>39</v>
      </c>
      <c r="B15" s="23">
        <f t="shared" si="1"/>
        <v>9000</v>
      </c>
      <c r="C15" s="23">
        <f>'2016'!H15</f>
        <v>3000</v>
      </c>
      <c r="D15" s="24">
        <f>'2017'!N15</f>
        <v>6000</v>
      </c>
      <c r="E15" s="24">
        <f>'2018'!N15</f>
        <v>0</v>
      </c>
      <c r="F15" s="24">
        <f>'2019'!N15</f>
        <v>0</v>
      </c>
      <c r="G15" s="24">
        <f>'2020'!N15</f>
        <v>0</v>
      </c>
      <c r="H15" s="24">
        <f>'2021'!N15</f>
        <v>0</v>
      </c>
      <c r="I15" s="24">
        <f>'2022'!N15</f>
        <v>0</v>
      </c>
      <c r="J15" s="24">
        <f>'2023'!N15</f>
        <v>0</v>
      </c>
      <c r="K15" s="24">
        <f>'2024'!N15</f>
        <v>0</v>
      </c>
      <c r="L15" s="24">
        <f>'2025'!N15</f>
        <v>0</v>
      </c>
      <c r="M15" s="26">
        <f>'2026'!N15</f>
        <v>0</v>
      </c>
    </row>
    <row r="16" ht="22.5" customHeight="1">
      <c r="A16" s="22" t="s">
        <v>40</v>
      </c>
      <c r="B16" s="23">
        <f t="shared" si="1"/>
        <v>48500</v>
      </c>
      <c r="C16" s="23">
        <f>'2016'!H16</f>
        <v>3500</v>
      </c>
      <c r="D16" s="24">
        <f>'2017'!N16</f>
        <v>6000</v>
      </c>
      <c r="E16" s="24">
        <f>'2018'!N16</f>
        <v>4500</v>
      </c>
      <c r="F16" s="24">
        <f>'2019'!N16</f>
        <v>0</v>
      </c>
      <c r="G16" s="24">
        <f>'2020'!N16</f>
        <v>4500</v>
      </c>
      <c r="H16" s="24">
        <f>'2021'!N16</f>
        <v>6000</v>
      </c>
      <c r="I16" s="24">
        <f>'2022'!N16</f>
        <v>5500</v>
      </c>
      <c r="J16" s="24">
        <f>'2023'!N16</f>
        <v>6000</v>
      </c>
      <c r="K16" s="24">
        <f>'2024'!N16</f>
        <v>4000</v>
      </c>
      <c r="L16" s="24">
        <f>'2025'!N16</f>
        <v>6000</v>
      </c>
      <c r="M16" s="26">
        <f>'2026'!N16</f>
        <v>2500</v>
      </c>
    </row>
    <row r="17" ht="22.5" customHeight="1">
      <c r="A17" s="22" t="s">
        <v>41</v>
      </c>
      <c r="B17" s="23">
        <f t="shared" si="1"/>
        <v>38500</v>
      </c>
      <c r="C17" s="23">
        <f>'2016'!H17</f>
        <v>3500</v>
      </c>
      <c r="D17" s="24">
        <f>'2017'!N17</f>
        <v>2500</v>
      </c>
      <c r="E17" s="24">
        <f>'2018'!N17</f>
        <v>9500</v>
      </c>
      <c r="F17" s="24">
        <f>'2019'!N17</f>
        <v>5000</v>
      </c>
      <c r="G17" s="24">
        <f>'2020'!N17</f>
        <v>7000</v>
      </c>
      <c r="H17" s="24">
        <f>'2021'!N17</f>
        <v>4400</v>
      </c>
      <c r="I17" s="24">
        <f>'2022'!N17</f>
        <v>4600</v>
      </c>
      <c r="J17" s="24">
        <f>'2023'!N17</f>
        <v>0</v>
      </c>
      <c r="K17" s="24">
        <f>'2024'!N17</f>
        <v>0</v>
      </c>
      <c r="L17" s="24">
        <f>'2025'!N17</f>
        <v>0</v>
      </c>
      <c r="M17" s="26">
        <f>'2026'!N17</f>
        <v>2000</v>
      </c>
    </row>
    <row r="18" ht="22.5" customHeight="1">
      <c r="A18" s="22" t="s">
        <v>42</v>
      </c>
      <c r="B18" s="23">
        <f t="shared" si="1"/>
        <v>47500</v>
      </c>
      <c r="C18" s="23">
        <f>'2016'!H18</f>
        <v>4000</v>
      </c>
      <c r="D18" s="24">
        <f>'2017'!N18</f>
        <v>5500</v>
      </c>
      <c r="E18" s="24">
        <f>'2018'!N18</f>
        <v>5500</v>
      </c>
      <c r="F18" s="24">
        <f>'2019'!N18</f>
        <v>0</v>
      </c>
      <c r="G18" s="24">
        <f>'2020'!N18</f>
        <v>5000</v>
      </c>
      <c r="H18" s="24">
        <f>'2021'!N18</f>
        <v>6000</v>
      </c>
      <c r="I18" s="24">
        <f>'2022'!N18</f>
        <v>5000</v>
      </c>
      <c r="J18" s="24">
        <f>'2023'!N18</f>
        <v>5000</v>
      </c>
      <c r="K18" s="24">
        <f>'2024'!N18</f>
        <v>4000</v>
      </c>
      <c r="L18" s="24">
        <f>'2025'!N18</f>
        <v>5000</v>
      </c>
      <c r="M18" s="26">
        <f>'2026'!N18</f>
        <v>2500</v>
      </c>
    </row>
    <row r="19" ht="22.5" customHeight="1">
      <c r="A19" s="22" t="s">
        <v>43</v>
      </c>
      <c r="B19" s="23">
        <f t="shared" si="1"/>
        <v>37500</v>
      </c>
      <c r="C19" s="23">
        <f>'2016'!H19</f>
        <v>3500</v>
      </c>
      <c r="D19" s="24">
        <f>'2017'!N19</f>
        <v>6000</v>
      </c>
      <c r="E19" s="24">
        <f>'2018'!N19</f>
        <v>5000</v>
      </c>
      <c r="F19" s="24">
        <f>'2019'!N19</f>
        <v>0</v>
      </c>
      <c r="G19" s="24">
        <f>'2020'!N19</f>
        <v>8000</v>
      </c>
      <c r="H19" s="24">
        <f>'2021'!N19</f>
        <v>6000</v>
      </c>
      <c r="I19" s="24">
        <f>'2022'!N19</f>
        <v>3000</v>
      </c>
      <c r="J19" s="24">
        <f>'2023'!N19</f>
        <v>0</v>
      </c>
      <c r="K19" s="24">
        <f>'2024'!N19</f>
        <v>1000</v>
      </c>
      <c r="L19" s="24">
        <f>'2025'!N19</f>
        <v>5000</v>
      </c>
      <c r="M19" s="26">
        <f>'2026'!N19</f>
        <v>0</v>
      </c>
    </row>
    <row r="20" ht="22.5" customHeight="1">
      <c r="A20" s="22" t="s">
        <v>44</v>
      </c>
      <c r="B20" s="23">
        <f t="shared" si="1"/>
        <v>39100</v>
      </c>
      <c r="C20" s="23">
        <f>'2016'!H20</f>
        <v>0</v>
      </c>
      <c r="D20" s="24">
        <f>'2017'!N20</f>
        <v>0</v>
      </c>
      <c r="E20" s="24">
        <f>'2018'!N20</f>
        <v>0</v>
      </c>
      <c r="F20" s="24">
        <f>'2019'!N20</f>
        <v>0</v>
      </c>
      <c r="G20" s="24">
        <f>'2020'!N20</f>
        <v>10000</v>
      </c>
      <c r="H20" s="24">
        <f>'2021'!N20</f>
        <v>8000</v>
      </c>
      <c r="I20" s="24">
        <f>'2022'!N20</f>
        <v>5500</v>
      </c>
      <c r="J20" s="24">
        <f>'2023'!N20</f>
        <v>5000</v>
      </c>
      <c r="K20" s="24">
        <f>'2024'!N20</f>
        <v>4000</v>
      </c>
      <c r="L20" s="24">
        <f>'2025'!N20</f>
        <v>4200</v>
      </c>
      <c r="M20" s="26">
        <f>'2026'!N20</f>
        <v>2400</v>
      </c>
    </row>
    <row r="21" ht="22.5" customHeight="1">
      <c r="A21" s="22" t="s">
        <v>45</v>
      </c>
      <c r="B21" s="23">
        <f t="shared" si="1"/>
        <v>6500</v>
      </c>
      <c r="C21" s="23">
        <f>'2016'!H21</f>
        <v>0</v>
      </c>
      <c r="D21" s="24">
        <f>'2017'!N21</f>
        <v>0</v>
      </c>
      <c r="E21" s="24">
        <f>'2018'!N21</f>
        <v>0</v>
      </c>
      <c r="F21" s="24">
        <f>'2019'!N21</f>
        <v>0</v>
      </c>
      <c r="G21" s="24">
        <f>'2020'!N21</f>
        <v>4500</v>
      </c>
      <c r="H21" s="24">
        <f>'2021'!N21</f>
        <v>2000</v>
      </c>
      <c r="I21" s="24">
        <f>'2022'!N21</f>
        <v>0</v>
      </c>
      <c r="J21" s="24">
        <f>'2023'!N21</f>
        <v>0</v>
      </c>
      <c r="K21" s="24">
        <f>'2024'!N21</f>
        <v>0</v>
      </c>
      <c r="L21" s="24">
        <f>'2025'!N21</f>
        <v>0</v>
      </c>
      <c r="M21" s="26">
        <f>'2026'!N21</f>
        <v>0</v>
      </c>
    </row>
    <row r="22" ht="22.5" customHeight="1">
      <c r="A22" s="22" t="s">
        <v>46</v>
      </c>
      <c r="B22" s="23">
        <f t="shared" si="1"/>
        <v>28905</v>
      </c>
      <c r="C22" s="23">
        <f>'2016'!H22</f>
        <v>0</v>
      </c>
      <c r="D22" s="24">
        <f>'2017'!N22</f>
        <v>0</v>
      </c>
      <c r="E22" s="24">
        <f>'2018'!N22</f>
        <v>0</v>
      </c>
      <c r="F22" s="24">
        <f>'2019'!N22</f>
        <v>0</v>
      </c>
      <c r="G22" s="24">
        <f>'2020'!N22</f>
        <v>3005</v>
      </c>
      <c r="H22" s="24">
        <f>'2021'!N22</f>
        <v>5500</v>
      </c>
      <c r="I22" s="24">
        <f>'2022'!N22</f>
        <v>5000</v>
      </c>
      <c r="J22" s="24">
        <f>'2023'!N22</f>
        <v>3000</v>
      </c>
      <c r="K22" s="24">
        <f>'2024'!N22</f>
        <v>2500</v>
      </c>
      <c r="L22" s="24">
        <f>'2025'!N22</f>
        <v>7400</v>
      </c>
      <c r="M22" s="26">
        <f>'2026'!N22</f>
        <v>2500</v>
      </c>
    </row>
    <row r="23" ht="22.5" customHeight="1">
      <c r="A23" s="22" t="s">
        <v>47</v>
      </c>
      <c r="B23" s="23">
        <f t="shared" si="1"/>
        <v>25001</v>
      </c>
      <c r="C23" s="23">
        <f>'2016'!H23</f>
        <v>0</v>
      </c>
      <c r="D23" s="24">
        <f>'2017'!N23</f>
        <v>0</v>
      </c>
      <c r="E23" s="24">
        <f>'2018'!N23</f>
        <v>0</v>
      </c>
      <c r="F23" s="24">
        <f>'2019'!N23</f>
        <v>0</v>
      </c>
      <c r="G23" s="24">
        <f>'2020'!N23</f>
        <v>1000</v>
      </c>
      <c r="H23" s="24">
        <f>'2021'!N23</f>
        <v>5000</v>
      </c>
      <c r="I23" s="24">
        <f>'2022'!N23</f>
        <v>4000</v>
      </c>
      <c r="J23" s="24">
        <f>'2023'!N23</f>
        <v>2500</v>
      </c>
      <c r="K23" s="24">
        <f>'2024'!N23</f>
        <v>5000</v>
      </c>
      <c r="L23" s="24">
        <f>'2025'!N23</f>
        <v>5001</v>
      </c>
      <c r="M23" s="26">
        <f>'2026'!N23</f>
        <v>2500</v>
      </c>
    </row>
    <row r="24" ht="22.5" customHeight="1">
      <c r="A24" s="27" t="s">
        <v>48</v>
      </c>
      <c r="B24" s="23">
        <f t="shared" si="1"/>
        <v>104038</v>
      </c>
      <c r="C24" s="23">
        <f>'2016'!H24</f>
        <v>704</v>
      </c>
      <c r="D24" s="24">
        <f>'2017'!N24</f>
        <v>3473</v>
      </c>
      <c r="E24" s="24">
        <f>'2018'!N24</f>
        <v>19988</v>
      </c>
      <c r="F24" s="24">
        <f>'2019'!N24</f>
        <v>14203</v>
      </c>
      <c r="G24" s="24">
        <f>'2020'!N24</f>
        <v>11872</v>
      </c>
      <c r="H24" s="24">
        <f>'2021'!N24</f>
        <v>21131</v>
      </c>
      <c r="I24" s="24">
        <f>'2022'!N20</f>
        <v>5500</v>
      </c>
      <c r="J24" s="24">
        <f>'2023'!N24</f>
        <v>3000</v>
      </c>
      <c r="K24" s="24">
        <f>'2024'!N24</f>
        <v>8600</v>
      </c>
      <c r="L24" s="24">
        <f>'2025'!N24</f>
        <v>13264</v>
      </c>
      <c r="M24" s="26">
        <f>'2026'!N24</f>
        <v>2303</v>
      </c>
    </row>
    <row r="25" ht="22.5" customHeight="1">
      <c r="A25" s="28" t="s">
        <v>14</v>
      </c>
      <c r="B25" s="23">
        <f t="shared" ref="B25:L25" si="2">SUM(B2:B24)</f>
        <v>984355</v>
      </c>
      <c r="C25" s="23">
        <f t="shared" si="2"/>
        <v>74704</v>
      </c>
      <c r="D25" s="23">
        <f t="shared" si="2"/>
        <v>111023</v>
      </c>
      <c r="E25" s="23">
        <f t="shared" si="2"/>
        <v>113988</v>
      </c>
      <c r="F25" s="23">
        <f t="shared" si="2"/>
        <v>67203</v>
      </c>
      <c r="G25" s="23">
        <f t="shared" si="2"/>
        <v>121277</v>
      </c>
      <c r="H25" s="23">
        <f t="shared" si="2"/>
        <v>120831</v>
      </c>
      <c r="I25" s="23">
        <f t="shared" si="2"/>
        <v>81100</v>
      </c>
      <c r="J25" s="23">
        <f t="shared" si="2"/>
        <v>63500</v>
      </c>
      <c r="K25" s="23">
        <f t="shared" si="2"/>
        <v>74400</v>
      </c>
      <c r="L25" s="23">
        <f t="shared" si="2"/>
        <v>118126</v>
      </c>
      <c r="M25" s="29">
        <f>'2026'!N26</f>
        <v>38203</v>
      </c>
    </row>
    <row r="26">
      <c r="A26" s="30"/>
      <c r="B26" s="30"/>
      <c r="C26" s="30"/>
      <c r="D26" s="30"/>
      <c r="E26" s="30"/>
      <c r="F26" s="30"/>
      <c r="G26" s="30"/>
      <c r="H26" s="30"/>
      <c r="I26" s="30"/>
      <c r="J26" s="30"/>
      <c r="K26" s="30"/>
      <c r="L26" s="30"/>
    </row>
  </sheetData>
  <conditionalFormatting sqref="M2:M25">
    <cfRule type="colorScale" priority="1">
      <colorScale>
        <cfvo type="min"/>
        <cfvo type="max"/>
        <color rgb="FFFFFFFF"/>
        <color rgb="FF57BB8A"/>
      </colorScale>
    </cfRule>
  </conditionalFormatting>
  <dataValidations>
    <dataValidation type="custom" allowBlank="1" showDropDown="1" sqref="B2:M25">
      <formula1>AND(ISNUMBER(B2),(NOT(OR(NOT(ISERROR(DATEVALUE(B2))), AND(ISNUMBER(B2), LEFT(CELL("format", B2))="D")))))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0"/>
    <col customWidth="1" min="2" max="2" width="16.13"/>
    <col customWidth="1" min="3" max="3" width="11.38"/>
    <col customWidth="1" min="4" max="4" width="13.63"/>
    <col customWidth="1" min="5" max="5" width="12.88"/>
    <col customWidth="1" min="6" max="6" width="12.13"/>
    <col customWidth="1" min="7" max="7" width="11.75"/>
    <col customWidth="1" min="8" max="8" width="13.5"/>
    <col customWidth="1" min="9" max="9" width="15.63"/>
    <col customWidth="1" min="10" max="10" width="14.88"/>
    <col customWidth="1" min="11" max="12" width="15.63"/>
    <col customWidth="1" min="13" max="13" width="11.38"/>
    <col customWidth="1" min="14" max="14" width="12.25"/>
    <col customWidth="1" min="15" max="15" width="36.88"/>
  </cols>
  <sheetData>
    <row r="1" ht="22.5" customHeight="1">
      <c r="A1" s="20" t="s">
        <v>49</v>
      </c>
      <c r="B1" s="20" t="s">
        <v>13</v>
      </c>
      <c r="C1" s="20" t="s">
        <v>50</v>
      </c>
      <c r="D1" s="20" t="s">
        <v>51</v>
      </c>
      <c r="E1" s="31" t="s">
        <v>52</v>
      </c>
      <c r="F1" s="31" t="s">
        <v>53</v>
      </c>
      <c r="G1" s="20" t="s">
        <v>54</v>
      </c>
      <c r="H1" s="20" t="s">
        <v>55</v>
      </c>
      <c r="I1" s="32" t="s">
        <v>56</v>
      </c>
      <c r="J1" s="20" t="s">
        <v>57</v>
      </c>
      <c r="K1" s="32" t="s">
        <v>58</v>
      </c>
      <c r="L1" s="20" t="s">
        <v>59</v>
      </c>
      <c r="M1" s="20" t="s">
        <v>60</v>
      </c>
      <c r="N1" s="20" t="s">
        <v>61</v>
      </c>
      <c r="O1" s="20" t="s">
        <v>62</v>
      </c>
      <c r="P1" s="33" t="s">
        <v>63</v>
      </c>
      <c r="Q1" s="34">
        <f>SUMIFS(M2:M103, H2:H103, "&lt;&gt;Write Off")</f>
        <v>550000</v>
      </c>
    </row>
    <row r="2" ht="22.5" customHeight="1">
      <c r="A2" s="35">
        <v>1.0</v>
      </c>
      <c r="B2" s="35" t="s">
        <v>64</v>
      </c>
      <c r="C2" s="35">
        <v>80000.0</v>
      </c>
      <c r="D2" s="35" t="s">
        <v>65</v>
      </c>
      <c r="E2" s="36">
        <v>44927.0</v>
      </c>
      <c r="F2" s="36">
        <v>45661.0</v>
      </c>
      <c r="G2" s="37" t="str">
        <f t="shared" ref="G2:G11" si="1">DATEDIF(E2, IF(F2="", TODAY(), F2), "Y") &amp; "Y:" &amp; DATEDIF(E2, IF(F2="", TODAY(), F2), "YM") &amp; "M:" &amp; DATEDIF(E2, IF(F2="", TODAY(), F2), "MD") &amp; "D"</f>
        <v>2Y:0M:3D</v>
      </c>
      <c r="H2" s="38" t="s">
        <v>66</v>
      </c>
      <c r="I2" s="35"/>
      <c r="J2" s="35">
        <v>0.0</v>
      </c>
      <c r="K2" s="35">
        <f t="shared" ref="K2:K84" si="2">I2-J2</f>
        <v>0</v>
      </c>
      <c r="L2" s="35">
        <v>10000.0</v>
      </c>
      <c r="M2" s="35">
        <v>0.0</v>
      </c>
      <c r="N2" s="35">
        <v>70000.0</v>
      </c>
      <c r="O2" s="35" t="s">
        <v>67</v>
      </c>
      <c r="P2" s="33" t="s">
        <v>68</v>
      </c>
      <c r="Q2" s="34">
        <f>SUMIFS(M2:M103, H2:H103, "Write Off")</f>
        <v>0</v>
      </c>
    </row>
    <row r="3" ht="22.5" customHeight="1">
      <c r="A3" s="35">
        <v>2.0</v>
      </c>
      <c r="B3" s="35" t="s">
        <v>37</v>
      </c>
      <c r="C3" s="35">
        <v>100000.0</v>
      </c>
      <c r="D3" s="35" t="s">
        <v>65</v>
      </c>
      <c r="E3" s="36">
        <v>45026.0</v>
      </c>
      <c r="F3" s="36">
        <v>45739.0</v>
      </c>
      <c r="G3" s="37" t="str">
        <f t="shared" si="1"/>
        <v>1Y:11M:13D</v>
      </c>
      <c r="H3" s="38" t="s">
        <v>69</v>
      </c>
      <c r="K3" s="35">
        <f t="shared" si="2"/>
        <v>0</v>
      </c>
      <c r="L3" s="35">
        <v>100000.0</v>
      </c>
      <c r="M3" s="39">
        <f t="shared" ref="M3:M5" si="3">C3-L3</f>
        <v>0</v>
      </c>
      <c r="O3" s="35" t="s">
        <v>70</v>
      </c>
      <c r="P3" s="33" t="s">
        <v>14</v>
      </c>
      <c r="Q3" s="34">
        <f>SUM(Q1:Q2)</f>
        <v>550000</v>
      </c>
    </row>
    <row r="4" ht="22.5" customHeight="1">
      <c r="A4" s="35">
        <v>3.0</v>
      </c>
      <c r="B4" s="35" t="s">
        <v>47</v>
      </c>
      <c r="C4" s="35">
        <v>100000.0</v>
      </c>
      <c r="D4" s="35" t="s">
        <v>71</v>
      </c>
      <c r="E4" s="36">
        <v>44995.0</v>
      </c>
      <c r="F4" s="40"/>
      <c r="G4" s="37" t="str">
        <f t="shared" si="1"/>
        <v>3Y:2M:8D</v>
      </c>
      <c r="H4" s="38" t="s">
        <v>69</v>
      </c>
      <c r="K4" s="35">
        <f t="shared" si="2"/>
        <v>0</v>
      </c>
      <c r="L4" s="35">
        <v>100000.0</v>
      </c>
      <c r="M4" s="39">
        <f t="shared" si="3"/>
        <v>0</v>
      </c>
      <c r="O4" s="35" t="s">
        <v>72</v>
      </c>
    </row>
    <row r="5" ht="22.5" customHeight="1">
      <c r="A5" s="35">
        <v>4.0</v>
      </c>
      <c r="B5" s="35" t="s">
        <v>73</v>
      </c>
      <c r="C5" s="35">
        <v>100000.0</v>
      </c>
      <c r="D5" s="35" t="s">
        <v>65</v>
      </c>
      <c r="E5" s="40"/>
      <c r="F5" s="40"/>
      <c r="G5" s="37" t="str">
        <f t="shared" si="1"/>
        <v>126Y:4M:18D</v>
      </c>
      <c r="H5" s="38" t="s">
        <v>69</v>
      </c>
      <c r="K5" s="35">
        <f t="shared" si="2"/>
        <v>0</v>
      </c>
      <c r="L5" s="35">
        <v>100000.0</v>
      </c>
      <c r="M5" s="39">
        <f t="shared" si="3"/>
        <v>0</v>
      </c>
      <c r="O5" s="35" t="s">
        <v>74</v>
      </c>
    </row>
    <row r="6" ht="22.5" customHeight="1">
      <c r="A6" s="35">
        <v>5.0</v>
      </c>
      <c r="B6" s="35" t="s">
        <v>35</v>
      </c>
      <c r="C6" s="35">
        <v>100000.0</v>
      </c>
      <c r="D6" s="35" t="s">
        <v>65</v>
      </c>
      <c r="E6" s="36">
        <v>45639.0</v>
      </c>
      <c r="F6" s="36">
        <v>45662.0</v>
      </c>
      <c r="G6" s="37" t="str">
        <f t="shared" si="1"/>
        <v>0Y:0M:23D</v>
      </c>
      <c r="H6" s="38" t="s">
        <v>69</v>
      </c>
      <c r="I6" s="35">
        <f t="shared" ref="I6:I7" si="4">(VALUE(LEFT(G6,FIND("Y",G6)-1))*12 + VALUE(MID(G6,FIND(":",G6)+1,FIND("M",G6)-FIND(":",G6)-1))) * 650</f>
        <v>0</v>
      </c>
      <c r="J6" s="35">
        <v>650.0</v>
      </c>
      <c r="K6" s="35">
        <f t="shared" si="2"/>
        <v>-650</v>
      </c>
      <c r="L6" s="35">
        <v>100000.0</v>
      </c>
      <c r="M6" s="35">
        <v>0.0</v>
      </c>
      <c r="N6" s="35"/>
      <c r="O6" s="35" t="s">
        <v>75</v>
      </c>
    </row>
    <row r="7" ht="22.5" customHeight="1">
      <c r="A7" s="35">
        <v>6.0</v>
      </c>
      <c r="B7" s="35" t="s">
        <v>76</v>
      </c>
      <c r="C7" s="35">
        <v>100000.0</v>
      </c>
      <c r="D7" s="35" t="s">
        <v>65</v>
      </c>
      <c r="E7" s="36">
        <v>45737.0</v>
      </c>
      <c r="F7" s="40"/>
      <c r="G7" s="37" t="str">
        <f t="shared" si="1"/>
        <v>1Y:1M:27D</v>
      </c>
      <c r="H7" s="38" t="s">
        <v>77</v>
      </c>
      <c r="I7" s="35">
        <f t="shared" si="4"/>
        <v>8450</v>
      </c>
      <c r="J7" s="35">
        <v>0.0</v>
      </c>
      <c r="K7" s="35">
        <f t="shared" si="2"/>
        <v>8450</v>
      </c>
      <c r="L7" s="35">
        <v>0.0</v>
      </c>
      <c r="M7" s="39">
        <f t="shared" ref="M7:M8" si="5">C7-L7</f>
        <v>100000</v>
      </c>
      <c r="O7" s="35" t="s">
        <v>78</v>
      </c>
    </row>
    <row r="8" ht="22.5" customHeight="1">
      <c r="A8" s="35">
        <v>7.0</v>
      </c>
      <c r="B8" s="35" t="s">
        <v>79</v>
      </c>
      <c r="C8" s="35">
        <v>150000.0</v>
      </c>
      <c r="D8" s="35" t="s">
        <v>71</v>
      </c>
      <c r="E8" s="36">
        <v>45689.0</v>
      </c>
      <c r="F8" s="40"/>
      <c r="G8" s="37" t="str">
        <f t="shared" si="1"/>
        <v>1Y:3M:17D</v>
      </c>
      <c r="H8" s="38" t="s">
        <v>77</v>
      </c>
      <c r="I8" s="35">
        <f>(VALUE(LEFT(G8,FIND("Y",G8)-1))*12 + VALUE(MID(G8,FIND(":",G8)+1,FIND("M",G8)-FIND(":",G8)-1)) - 12) * 650</f>
        <v>1950</v>
      </c>
      <c r="J8" s="35">
        <f>1300</f>
        <v>1300</v>
      </c>
      <c r="K8" s="35">
        <f t="shared" si="2"/>
        <v>650</v>
      </c>
      <c r="L8" s="35">
        <v>0.0</v>
      </c>
      <c r="M8" s="39">
        <f t="shared" si="5"/>
        <v>150000</v>
      </c>
    </row>
    <row r="9" ht="22.5" customHeight="1">
      <c r="A9" s="35">
        <v>8.0</v>
      </c>
      <c r="B9" s="35" t="s">
        <v>80</v>
      </c>
      <c r="C9" s="35">
        <v>100000.0</v>
      </c>
      <c r="D9" s="35" t="s">
        <v>65</v>
      </c>
      <c r="E9" s="36">
        <v>45776.0</v>
      </c>
      <c r="F9" s="40"/>
      <c r="G9" s="37" t="str">
        <f t="shared" si="1"/>
        <v>1Y:0M:19D</v>
      </c>
      <c r="H9" s="38" t="s">
        <v>77</v>
      </c>
      <c r="I9" s="35">
        <f t="shared" ref="I9:I11" si="6">(VALUE(LEFT(G9,FIND("Y",G9)-1))*12 + VALUE(MID(G9,FIND(":",G9)+1,FIND("M",G9)-FIND(":",G9)-1))) * 650</f>
        <v>7800</v>
      </c>
      <c r="J9" s="35">
        <f>650+650+650+650+650+650+650+650+650+650+650+650</f>
        <v>7800</v>
      </c>
      <c r="K9" s="35">
        <f t="shared" si="2"/>
        <v>0</v>
      </c>
      <c r="L9" s="35">
        <v>0.0</v>
      </c>
      <c r="M9" s="35">
        <v>100000.0</v>
      </c>
      <c r="N9" s="35"/>
      <c r="O9" s="35"/>
    </row>
    <row r="10" ht="22.5" customHeight="1">
      <c r="A10" s="35">
        <v>9.0</v>
      </c>
      <c r="B10" s="35" t="s">
        <v>80</v>
      </c>
      <c r="C10" s="35">
        <v>100000.0</v>
      </c>
      <c r="D10" s="35" t="s">
        <v>65</v>
      </c>
      <c r="E10" s="36">
        <v>45721.0</v>
      </c>
      <c r="F10" s="40"/>
      <c r="G10" s="37" t="str">
        <f t="shared" si="1"/>
        <v>1Y:2M:13D</v>
      </c>
      <c r="H10" s="38" t="s">
        <v>77</v>
      </c>
      <c r="I10" s="35">
        <f t="shared" si="6"/>
        <v>9100</v>
      </c>
      <c r="J10" s="35">
        <f>650+650+650+650+650+650+650+650+650+650+650+650+650</f>
        <v>8450</v>
      </c>
      <c r="K10" s="35">
        <f t="shared" si="2"/>
        <v>650</v>
      </c>
      <c r="L10" s="35">
        <v>0.0</v>
      </c>
      <c r="M10" s="35">
        <v>100000.0</v>
      </c>
      <c r="N10" s="35"/>
      <c r="O10" s="35" t="s">
        <v>81</v>
      </c>
    </row>
    <row r="11" ht="22.5" customHeight="1">
      <c r="A11" s="35">
        <v>10.0</v>
      </c>
      <c r="B11" s="35" t="s">
        <v>41</v>
      </c>
      <c r="C11" s="35">
        <v>100000.0</v>
      </c>
      <c r="D11" s="35" t="s">
        <v>65</v>
      </c>
      <c r="E11" s="36">
        <v>45940.0</v>
      </c>
      <c r="F11" s="40"/>
      <c r="G11" s="37" t="str">
        <f t="shared" si="1"/>
        <v>0Y:7M:8D</v>
      </c>
      <c r="H11" s="38" t="s">
        <v>77</v>
      </c>
      <c r="I11" s="35">
        <f t="shared" si="6"/>
        <v>4550</v>
      </c>
      <c r="J11" s="39">
        <f>800+650+650+650+650+650</f>
        <v>4050</v>
      </c>
      <c r="K11" s="35">
        <f t="shared" si="2"/>
        <v>500</v>
      </c>
      <c r="L11" s="35">
        <v>0.0</v>
      </c>
      <c r="M11" s="35">
        <v>100000.0</v>
      </c>
      <c r="N11" s="35"/>
      <c r="O11" s="35" t="s">
        <v>82</v>
      </c>
    </row>
    <row r="12" ht="22.5" customHeight="1">
      <c r="A12" s="35">
        <v>11.0</v>
      </c>
      <c r="E12" s="36"/>
      <c r="F12" s="36"/>
      <c r="G12" s="37"/>
      <c r="H12" s="41"/>
      <c r="K12" s="39">
        <f t="shared" si="2"/>
        <v>0</v>
      </c>
    </row>
    <row r="13" ht="22.5" customHeight="1">
      <c r="A13" s="35">
        <v>12.0</v>
      </c>
      <c r="E13" s="40"/>
      <c r="F13" s="40"/>
      <c r="G13" s="37"/>
      <c r="H13" s="41"/>
      <c r="K13" s="39">
        <f t="shared" si="2"/>
        <v>0</v>
      </c>
    </row>
    <row r="14" ht="22.5" customHeight="1">
      <c r="A14" s="35">
        <v>13.0</v>
      </c>
      <c r="E14" s="40"/>
      <c r="F14" s="40"/>
      <c r="G14" s="37"/>
      <c r="H14" s="41"/>
      <c r="K14" s="39">
        <f t="shared" si="2"/>
        <v>0</v>
      </c>
    </row>
    <row r="15" ht="22.5" customHeight="1">
      <c r="A15" s="35">
        <v>14.0</v>
      </c>
      <c r="E15" s="40"/>
      <c r="F15" s="40"/>
      <c r="G15" s="37"/>
      <c r="H15" s="41"/>
      <c r="K15" s="39">
        <f t="shared" si="2"/>
        <v>0</v>
      </c>
    </row>
    <row r="16" ht="22.5" customHeight="1">
      <c r="E16" s="40"/>
      <c r="F16" s="40"/>
      <c r="G16" s="37"/>
      <c r="H16" s="41"/>
      <c r="K16" s="39">
        <f t="shared" si="2"/>
        <v>0</v>
      </c>
    </row>
    <row r="17" ht="22.5" customHeight="1">
      <c r="E17" s="40"/>
      <c r="F17" s="40"/>
      <c r="G17" s="37"/>
      <c r="H17" s="41"/>
      <c r="K17" s="39">
        <f t="shared" si="2"/>
        <v>0</v>
      </c>
    </row>
    <row r="18" ht="22.5" customHeight="1">
      <c r="E18" s="40"/>
      <c r="F18" s="40"/>
      <c r="G18" s="37"/>
      <c r="H18" s="41"/>
      <c r="K18" s="39">
        <f t="shared" si="2"/>
        <v>0</v>
      </c>
    </row>
    <row r="19" ht="22.5" customHeight="1">
      <c r="E19" s="40"/>
      <c r="F19" s="40"/>
      <c r="G19" s="37"/>
      <c r="H19" s="41"/>
      <c r="K19" s="39">
        <f t="shared" si="2"/>
        <v>0</v>
      </c>
    </row>
    <row r="20" ht="22.5" customHeight="1">
      <c r="E20" s="40"/>
      <c r="F20" s="40"/>
      <c r="G20" s="37"/>
      <c r="H20" s="41"/>
      <c r="K20" s="39">
        <f t="shared" si="2"/>
        <v>0</v>
      </c>
    </row>
    <row r="21" ht="22.5" customHeight="1">
      <c r="E21" s="40"/>
      <c r="F21" s="40"/>
      <c r="G21" s="37"/>
      <c r="H21" s="41"/>
      <c r="K21" s="39">
        <f t="shared" si="2"/>
        <v>0</v>
      </c>
    </row>
    <row r="22" ht="22.5" customHeight="1">
      <c r="E22" s="40"/>
      <c r="F22" s="40"/>
      <c r="G22" s="37"/>
      <c r="H22" s="41"/>
      <c r="K22" s="39">
        <f t="shared" si="2"/>
        <v>0</v>
      </c>
    </row>
    <row r="23" ht="22.5" customHeight="1">
      <c r="E23" s="40"/>
      <c r="F23" s="40"/>
      <c r="G23" s="37"/>
      <c r="H23" s="41"/>
      <c r="K23" s="39">
        <f t="shared" si="2"/>
        <v>0</v>
      </c>
    </row>
    <row r="24" ht="22.5" customHeight="1">
      <c r="E24" s="40"/>
      <c r="F24" s="40"/>
      <c r="G24" s="37"/>
      <c r="H24" s="41"/>
      <c r="K24" s="39">
        <f t="shared" si="2"/>
        <v>0</v>
      </c>
    </row>
    <row r="25" ht="22.5" customHeight="1">
      <c r="E25" s="40"/>
      <c r="F25" s="40"/>
      <c r="G25" s="37"/>
      <c r="H25" s="41"/>
      <c r="K25" s="39">
        <f t="shared" si="2"/>
        <v>0</v>
      </c>
    </row>
    <row r="26" ht="22.5" customHeight="1">
      <c r="E26" s="40"/>
      <c r="F26" s="40"/>
      <c r="G26" s="37"/>
      <c r="H26" s="41"/>
      <c r="K26" s="39">
        <f t="shared" si="2"/>
        <v>0</v>
      </c>
    </row>
    <row r="27" ht="22.5" customHeight="1">
      <c r="A27" s="42"/>
      <c r="B27" s="42"/>
      <c r="C27" s="42"/>
      <c r="D27" s="42"/>
      <c r="E27" s="43"/>
      <c r="F27" s="43"/>
      <c r="G27" s="37"/>
      <c r="H27" s="44"/>
      <c r="I27" s="42"/>
      <c r="J27" s="42"/>
      <c r="K27" s="42">
        <f t="shared" si="2"/>
        <v>0</v>
      </c>
      <c r="L27" s="42"/>
      <c r="M27" s="42"/>
      <c r="N27" s="42"/>
      <c r="O27" s="42"/>
    </row>
    <row r="28" ht="22.5" customHeight="1">
      <c r="A28" s="42"/>
      <c r="B28" s="42"/>
      <c r="C28" s="42"/>
      <c r="D28" s="42"/>
      <c r="E28" s="43"/>
      <c r="F28" s="43"/>
      <c r="G28" s="37"/>
      <c r="H28" s="44"/>
      <c r="I28" s="42"/>
      <c r="J28" s="42"/>
      <c r="K28" s="42">
        <f t="shared" si="2"/>
        <v>0</v>
      </c>
      <c r="L28" s="42"/>
      <c r="M28" s="42"/>
      <c r="N28" s="42"/>
      <c r="O28" s="42"/>
    </row>
    <row r="29" ht="22.5" customHeight="1">
      <c r="A29" s="42"/>
      <c r="B29" s="42"/>
      <c r="C29" s="42"/>
      <c r="D29" s="42"/>
      <c r="E29" s="43"/>
      <c r="F29" s="43"/>
      <c r="G29" s="37"/>
      <c r="H29" s="44"/>
      <c r="I29" s="42"/>
      <c r="J29" s="42"/>
      <c r="K29" s="42">
        <f t="shared" si="2"/>
        <v>0</v>
      </c>
      <c r="L29" s="42"/>
      <c r="M29" s="42"/>
      <c r="N29" s="42"/>
      <c r="O29" s="42"/>
    </row>
    <row r="30" ht="22.5" customHeight="1">
      <c r="A30" s="42"/>
      <c r="B30" s="42"/>
      <c r="C30" s="42"/>
      <c r="D30" s="42"/>
      <c r="E30" s="43"/>
      <c r="F30" s="43"/>
      <c r="G30" s="37"/>
      <c r="H30" s="44"/>
      <c r="I30" s="42"/>
      <c r="J30" s="42"/>
      <c r="K30" s="42">
        <f t="shared" si="2"/>
        <v>0</v>
      </c>
      <c r="L30" s="42"/>
      <c r="M30" s="42"/>
      <c r="N30" s="42"/>
      <c r="O30" s="42"/>
    </row>
    <row r="31" ht="22.5" customHeight="1">
      <c r="A31" s="42"/>
      <c r="B31" s="42"/>
      <c r="C31" s="42"/>
      <c r="D31" s="42"/>
      <c r="E31" s="43"/>
      <c r="F31" s="43"/>
      <c r="G31" s="37"/>
      <c r="H31" s="44"/>
      <c r="I31" s="42"/>
      <c r="J31" s="42"/>
      <c r="K31" s="42">
        <f t="shared" si="2"/>
        <v>0</v>
      </c>
      <c r="L31" s="42"/>
      <c r="M31" s="42"/>
      <c r="N31" s="42"/>
      <c r="O31" s="42"/>
    </row>
    <row r="32" ht="22.5" customHeight="1">
      <c r="A32" s="42"/>
      <c r="B32" s="42"/>
      <c r="C32" s="42"/>
      <c r="D32" s="42"/>
      <c r="E32" s="43"/>
      <c r="F32" s="43"/>
      <c r="G32" s="37"/>
      <c r="H32" s="44"/>
      <c r="I32" s="42"/>
      <c r="J32" s="42"/>
      <c r="K32" s="42">
        <f t="shared" si="2"/>
        <v>0</v>
      </c>
      <c r="L32" s="42"/>
      <c r="M32" s="42"/>
      <c r="N32" s="42"/>
      <c r="O32" s="42"/>
    </row>
    <row r="33" ht="22.5" customHeight="1">
      <c r="A33" s="42"/>
      <c r="B33" s="42"/>
      <c r="C33" s="42"/>
      <c r="D33" s="42"/>
      <c r="E33" s="43"/>
      <c r="F33" s="43"/>
      <c r="G33" s="37"/>
      <c r="H33" s="44"/>
      <c r="I33" s="42"/>
      <c r="J33" s="42"/>
      <c r="K33" s="42">
        <f t="shared" si="2"/>
        <v>0</v>
      </c>
      <c r="L33" s="42"/>
      <c r="M33" s="42"/>
      <c r="N33" s="42"/>
      <c r="O33" s="42"/>
    </row>
    <row r="34" ht="22.5" customHeight="1">
      <c r="A34" s="42"/>
      <c r="B34" s="42"/>
      <c r="C34" s="42"/>
      <c r="D34" s="42"/>
      <c r="E34" s="43"/>
      <c r="F34" s="43"/>
      <c r="G34" s="37"/>
      <c r="H34" s="44"/>
      <c r="I34" s="42"/>
      <c r="J34" s="42"/>
      <c r="K34" s="42">
        <f t="shared" si="2"/>
        <v>0</v>
      </c>
      <c r="L34" s="42"/>
      <c r="M34" s="42"/>
      <c r="N34" s="42"/>
      <c r="O34" s="42"/>
    </row>
    <row r="35" ht="22.5" customHeight="1">
      <c r="A35" s="42"/>
      <c r="B35" s="42"/>
      <c r="C35" s="42"/>
      <c r="D35" s="42"/>
      <c r="E35" s="43"/>
      <c r="F35" s="43"/>
      <c r="G35" s="37"/>
      <c r="H35" s="44"/>
      <c r="I35" s="42"/>
      <c r="J35" s="42"/>
      <c r="K35" s="42">
        <f t="shared" si="2"/>
        <v>0</v>
      </c>
      <c r="L35" s="42"/>
      <c r="M35" s="42"/>
      <c r="N35" s="42"/>
      <c r="O35" s="42"/>
    </row>
    <row r="36" ht="22.5" customHeight="1">
      <c r="A36" s="42"/>
      <c r="B36" s="42"/>
      <c r="C36" s="42"/>
      <c r="D36" s="42"/>
      <c r="E36" s="43"/>
      <c r="F36" s="43"/>
      <c r="G36" s="37"/>
      <c r="H36" s="44"/>
      <c r="I36" s="42"/>
      <c r="J36" s="42"/>
      <c r="K36" s="42">
        <f t="shared" si="2"/>
        <v>0</v>
      </c>
      <c r="L36" s="42"/>
      <c r="M36" s="42"/>
      <c r="N36" s="42"/>
      <c r="O36" s="42"/>
    </row>
    <row r="37" ht="22.5" customHeight="1">
      <c r="A37" s="42"/>
      <c r="B37" s="42"/>
      <c r="C37" s="42"/>
      <c r="D37" s="42"/>
      <c r="E37" s="43"/>
      <c r="F37" s="43"/>
      <c r="G37" s="37"/>
      <c r="H37" s="44"/>
      <c r="I37" s="42"/>
      <c r="J37" s="42"/>
      <c r="K37" s="42">
        <f t="shared" si="2"/>
        <v>0</v>
      </c>
      <c r="L37" s="42"/>
      <c r="M37" s="42"/>
      <c r="N37" s="42"/>
      <c r="O37" s="42"/>
    </row>
    <row r="38" ht="22.5" customHeight="1">
      <c r="A38" s="42"/>
      <c r="B38" s="42"/>
      <c r="C38" s="42"/>
      <c r="D38" s="42"/>
      <c r="E38" s="43"/>
      <c r="F38" s="43"/>
      <c r="G38" s="37"/>
      <c r="H38" s="44"/>
      <c r="I38" s="42"/>
      <c r="J38" s="42"/>
      <c r="K38" s="42">
        <f t="shared" si="2"/>
        <v>0</v>
      </c>
      <c r="L38" s="42"/>
      <c r="M38" s="42"/>
      <c r="N38" s="42"/>
      <c r="O38" s="42"/>
    </row>
    <row r="39" ht="22.5" customHeight="1">
      <c r="A39" s="42"/>
      <c r="B39" s="42"/>
      <c r="C39" s="42"/>
      <c r="D39" s="42"/>
      <c r="E39" s="43"/>
      <c r="F39" s="43"/>
      <c r="G39" s="37"/>
      <c r="H39" s="44"/>
      <c r="I39" s="42"/>
      <c r="J39" s="42"/>
      <c r="K39" s="42">
        <f t="shared" si="2"/>
        <v>0</v>
      </c>
      <c r="L39" s="42"/>
      <c r="M39" s="42"/>
      <c r="N39" s="42"/>
      <c r="O39" s="42"/>
    </row>
    <row r="40" ht="22.5" customHeight="1">
      <c r="A40" s="42"/>
      <c r="B40" s="42"/>
      <c r="C40" s="42"/>
      <c r="D40" s="42"/>
      <c r="E40" s="43"/>
      <c r="F40" s="43"/>
      <c r="G40" s="37"/>
      <c r="H40" s="44"/>
      <c r="I40" s="42"/>
      <c r="J40" s="42"/>
      <c r="K40" s="42">
        <f t="shared" si="2"/>
        <v>0</v>
      </c>
      <c r="L40" s="42"/>
      <c r="M40" s="42"/>
      <c r="N40" s="42"/>
      <c r="O40" s="42"/>
    </row>
    <row r="41" ht="22.5" customHeight="1">
      <c r="A41" s="42"/>
      <c r="B41" s="42"/>
      <c r="C41" s="42"/>
      <c r="D41" s="42"/>
      <c r="E41" s="43"/>
      <c r="F41" s="43"/>
      <c r="G41" s="37"/>
      <c r="H41" s="44"/>
      <c r="I41" s="42"/>
      <c r="J41" s="42"/>
      <c r="K41" s="42">
        <f t="shared" si="2"/>
        <v>0</v>
      </c>
      <c r="L41" s="42"/>
      <c r="M41" s="42"/>
      <c r="N41" s="42"/>
      <c r="O41" s="42"/>
    </row>
    <row r="42" ht="22.5" customHeight="1">
      <c r="A42" s="42"/>
      <c r="B42" s="42"/>
      <c r="C42" s="42"/>
      <c r="D42" s="42"/>
      <c r="E42" s="43"/>
      <c r="F42" s="43"/>
      <c r="G42" s="37"/>
      <c r="H42" s="44"/>
      <c r="I42" s="42"/>
      <c r="J42" s="42"/>
      <c r="K42" s="42">
        <f t="shared" si="2"/>
        <v>0</v>
      </c>
      <c r="L42" s="42"/>
      <c r="M42" s="42"/>
      <c r="N42" s="42"/>
      <c r="O42" s="42"/>
    </row>
    <row r="43" ht="22.5" customHeight="1">
      <c r="A43" s="42"/>
      <c r="B43" s="42"/>
      <c r="C43" s="42"/>
      <c r="D43" s="42"/>
      <c r="E43" s="43"/>
      <c r="F43" s="43"/>
      <c r="G43" s="37"/>
      <c r="H43" s="44"/>
      <c r="I43" s="42"/>
      <c r="J43" s="42"/>
      <c r="K43" s="42">
        <f t="shared" si="2"/>
        <v>0</v>
      </c>
      <c r="L43" s="42"/>
      <c r="M43" s="42"/>
      <c r="N43" s="42"/>
      <c r="O43" s="42"/>
    </row>
    <row r="44" ht="22.5" customHeight="1">
      <c r="A44" s="42"/>
      <c r="B44" s="42"/>
      <c r="C44" s="42"/>
      <c r="D44" s="42"/>
      <c r="E44" s="43"/>
      <c r="F44" s="43"/>
      <c r="G44" s="37"/>
      <c r="H44" s="44"/>
      <c r="I44" s="42"/>
      <c r="J44" s="42"/>
      <c r="K44" s="42">
        <f t="shared" si="2"/>
        <v>0</v>
      </c>
      <c r="L44" s="42"/>
      <c r="M44" s="42"/>
      <c r="N44" s="42"/>
      <c r="O44" s="42"/>
    </row>
    <row r="45" ht="22.5" customHeight="1">
      <c r="A45" s="42"/>
      <c r="B45" s="42"/>
      <c r="C45" s="42"/>
      <c r="D45" s="42"/>
      <c r="E45" s="43"/>
      <c r="F45" s="43"/>
      <c r="G45" s="37"/>
      <c r="H45" s="44"/>
      <c r="I45" s="42"/>
      <c r="J45" s="42"/>
      <c r="K45" s="42">
        <f t="shared" si="2"/>
        <v>0</v>
      </c>
      <c r="L45" s="42"/>
      <c r="M45" s="42"/>
      <c r="N45" s="42"/>
      <c r="O45" s="42"/>
    </row>
    <row r="46" ht="22.5" customHeight="1">
      <c r="A46" s="42"/>
      <c r="B46" s="42"/>
      <c r="C46" s="42"/>
      <c r="D46" s="42"/>
      <c r="E46" s="43"/>
      <c r="F46" s="43"/>
      <c r="G46" s="37"/>
      <c r="H46" s="44"/>
      <c r="I46" s="42"/>
      <c r="J46" s="42"/>
      <c r="K46" s="42">
        <f t="shared" si="2"/>
        <v>0</v>
      </c>
      <c r="L46" s="42"/>
      <c r="M46" s="42"/>
      <c r="N46" s="42"/>
      <c r="O46" s="42"/>
    </row>
    <row r="47" ht="22.5" customHeight="1">
      <c r="A47" s="42"/>
      <c r="B47" s="42"/>
      <c r="C47" s="42"/>
      <c r="D47" s="42"/>
      <c r="E47" s="43"/>
      <c r="F47" s="43"/>
      <c r="G47" s="37"/>
      <c r="H47" s="44"/>
      <c r="I47" s="42"/>
      <c r="J47" s="42"/>
      <c r="K47" s="42">
        <f t="shared" si="2"/>
        <v>0</v>
      </c>
      <c r="L47" s="42"/>
      <c r="M47" s="42"/>
      <c r="N47" s="42"/>
      <c r="O47" s="42"/>
    </row>
    <row r="48" ht="22.5" customHeight="1">
      <c r="A48" s="42"/>
      <c r="B48" s="42"/>
      <c r="C48" s="42"/>
      <c r="D48" s="42"/>
      <c r="E48" s="43"/>
      <c r="F48" s="43"/>
      <c r="G48" s="37"/>
      <c r="H48" s="44"/>
      <c r="I48" s="42"/>
      <c r="J48" s="42"/>
      <c r="K48" s="42">
        <f t="shared" si="2"/>
        <v>0</v>
      </c>
      <c r="L48" s="42"/>
      <c r="M48" s="42"/>
      <c r="N48" s="42"/>
      <c r="O48" s="42"/>
    </row>
    <row r="49" ht="22.5" customHeight="1">
      <c r="A49" s="42"/>
      <c r="B49" s="42"/>
      <c r="C49" s="42"/>
      <c r="D49" s="42"/>
      <c r="E49" s="43"/>
      <c r="F49" s="43"/>
      <c r="G49" s="37"/>
      <c r="H49" s="44"/>
      <c r="I49" s="42"/>
      <c r="J49" s="42"/>
      <c r="K49" s="42">
        <f t="shared" si="2"/>
        <v>0</v>
      </c>
      <c r="L49" s="42"/>
      <c r="M49" s="42"/>
      <c r="N49" s="42"/>
      <c r="O49" s="42"/>
    </row>
    <row r="50" ht="22.5" customHeight="1">
      <c r="A50" s="42"/>
      <c r="B50" s="42"/>
      <c r="C50" s="42"/>
      <c r="D50" s="42"/>
      <c r="E50" s="43"/>
      <c r="F50" s="43"/>
      <c r="G50" s="37"/>
      <c r="H50" s="44"/>
      <c r="I50" s="42"/>
      <c r="J50" s="42"/>
      <c r="K50" s="42">
        <f t="shared" si="2"/>
        <v>0</v>
      </c>
      <c r="L50" s="42"/>
      <c r="M50" s="42"/>
      <c r="N50" s="42"/>
      <c r="O50" s="42"/>
    </row>
    <row r="51" ht="22.5" customHeight="1">
      <c r="A51" s="42"/>
      <c r="B51" s="42"/>
      <c r="C51" s="42"/>
      <c r="D51" s="42"/>
      <c r="E51" s="43"/>
      <c r="F51" s="43"/>
      <c r="G51" s="37"/>
      <c r="H51" s="44"/>
      <c r="I51" s="42"/>
      <c r="J51" s="42"/>
      <c r="K51" s="42">
        <f t="shared" si="2"/>
        <v>0</v>
      </c>
      <c r="L51" s="42"/>
      <c r="M51" s="42"/>
      <c r="N51" s="42"/>
      <c r="O51" s="42"/>
    </row>
    <row r="52" ht="22.5" customHeight="1">
      <c r="A52" s="42"/>
      <c r="B52" s="42"/>
      <c r="C52" s="42"/>
      <c r="D52" s="42"/>
      <c r="E52" s="43"/>
      <c r="F52" s="43"/>
      <c r="G52" s="37"/>
      <c r="H52" s="44"/>
      <c r="I52" s="42"/>
      <c r="J52" s="42"/>
      <c r="K52" s="42">
        <f t="shared" si="2"/>
        <v>0</v>
      </c>
      <c r="L52" s="42"/>
      <c r="M52" s="42"/>
      <c r="N52" s="42"/>
      <c r="O52" s="42"/>
    </row>
    <row r="53" ht="22.5" customHeight="1">
      <c r="A53" s="42"/>
      <c r="B53" s="42"/>
      <c r="C53" s="42"/>
      <c r="D53" s="42"/>
      <c r="E53" s="43"/>
      <c r="F53" s="43"/>
      <c r="G53" s="37"/>
      <c r="H53" s="44"/>
      <c r="I53" s="42"/>
      <c r="J53" s="42"/>
      <c r="K53" s="42">
        <f t="shared" si="2"/>
        <v>0</v>
      </c>
      <c r="L53" s="42"/>
      <c r="M53" s="42"/>
      <c r="N53" s="42"/>
      <c r="O53" s="42"/>
    </row>
    <row r="54" ht="22.5" customHeight="1">
      <c r="A54" s="42"/>
      <c r="B54" s="42"/>
      <c r="C54" s="42"/>
      <c r="D54" s="42"/>
      <c r="E54" s="43"/>
      <c r="F54" s="43"/>
      <c r="G54" s="37"/>
      <c r="H54" s="44"/>
      <c r="I54" s="42"/>
      <c r="J54" s="42"/>
      <c r="K54" s="42">
        <f t="shared" si="2"/>
        <v>0</v>
      </c>
      <c r="L54" s="42"/>
      <c r="M54" s="42"/>
      <c r="N54" s="42"/>
      <c r="O54" s="42"/>
    </row>
    <row r="55" ht="22.5" customHeight="1">
      <c r="A55" s="42"/>
      <c r="B55" s="42"/>
      <c r="C55" s="42"/>
      <c r="D55" s="42"/>
      <c r="E55" s="43"/>
      <c r="F55" s="43"/>
      <c r="G55" s="37"/>
      <c r="H55" s="44"/>
      <c r="I55" s="42"/>
      <c r="J55" s="42"/>
      <c r="K55" s="42">
        <f t="shared" si="2"/>
        <v>0</v>
      </c>
      <c r="L55" s="42"/>
      <c r="M55" s="42"/>
      <c r="N55" s="42"/>
      <c r="O55" s="42"/>
    </row>
    <row r="56" ht="22.5" customHeight="1">
      <c r="A56" s="42"/>
      <c r="B56" s="42"/>
      <c r="C56" s="42"/>
      <c r="D56" s="42"/>
      <c r="E56" s="43"/>
      <c r="F56" s="43"/>
      <c r="G56" s="37"/>
      <c r="H56" s="44"/>
      <c r="I56" s="42"/>
      <c r="J56" s="42"/>
      <c r="K56" s="42">
        <f t="shared" si="2"/>
        <v>0</v>
      </c>
      <c r="L56" s="42"/>
      <c r="M56" s="42"/>
      <c r="N56" s="42"/>
      <c r="O56" s="42"/>
    </row>
    <row r="57" ht="22.5" customHeight="1">
      <c r="A57" s="42"/>
      <c r="B57" s="42"/>
      <c r="C57" s="42"/>
      <c r="D57" s="42"/>
      <c r="E57" s="43"/>
      <c r="F57" s="43"/>
      <c r="G57" s="37"/>
      <c r="H57" s="44"/>
      <c r="I57" s="42"/>
      <c r="J57" s="42"/>
      <c r="K57" s="42">
        <f t="shared" si="2"/>
        <v>0</v>
      </c>
      <c r="L57" s="42"/>
      <c r="M57" s="42"/>
      <c r="N57" s="42"/>
      <c r="O57" s="42"/>
    </row>
    <row r="58" ht="22.5" customHeight="1">
      <c r="A58" s="42"/>
      <c r="B58" s="42"/>
      <c r="C58" s="42"/>
      <c r="D58" s="42"/>
      <c r="E58" s="43"/>
      <c r="F58" s="43"/>
      <c r="G58" s="37"/>
      <c r="H58" s="44"/>
      <c r="I58" s="42"/>
      <c r="J58" s="42"/>
      <c r="K58" s="42">
        <f t="shared" si="2"/>
        <v>0</v>
      </c>
      <c r="L58" s="42"/>
      <c r="M58" s="42"/>
      <c r="N58" s="42"/>
      <c r="O58" s="42"/>
    </row>
    <row r="59" ht="22.5" customHeight="1">
      <c r="A59" s="42"/>
      <c r="B59" s="42"/>
      <c r="C59" s="42"/>
      <c r="D59" s="42"/>
      <c r="E59" s="43"/>
      <c r="F59" s="43"/>
      <c r="G59" s="37"/>
      <c r="H59" s="44"/>
      <c r="I59" s="42"/>
      <c r="J59" s="42"/>
      <c r="K59" s="42">
        <f t="shared" si="2"/>
        <v>0</v>
      </c>
      <c r="L59" s="42"/>
      <c r="M59" s="42"/>
      <c r="N59" s="42"/>
      <c r="O59" s="42"/>
    </row>
    <row r="60" ht="22.5" customHeight="1">
      <c r="A60" s="42"/>
      <c r="B60" s="42"/>
      <c r="C60" s="42"/>
      <c r="D60" s="42"/>
      <c r="E60" s="43"/>
      <c r="F60" s="43"/>
      <c r="G60" s="37"/>
      <c r="H60" s="44"/>
      <c r="I60" s="42"/>
      <c r="J60" s="42"/>
      <c r="K60" s="42">
        <f t="shared" si="2"/>
        <v>0</v>
      </c>
      <c r="L60" s="42"/>
      <c r="M60" s="42"/>
      <c r="N60" s="42"/>
      <c r="O60" s="42"/>
    </row>
    <row r="61" ht="22.5" customHeight="1">
      <c r="A61" s="42"/>
      <c r="B61" s="42"/>
      <c r="C61" s="42"/>
      <c r="D61" s="42"/>
      <c r="E61" s="43"/>
      <c r="F61" s="43"/>
      <c r="G61" s="37"/>
      <c r="H61" s="44"/>
      <c r="I61" s="42"/>
      <c r="J61" s="42"/>
      <c r="K61" s="42">
        <f t="shared" si="2"/>
        <v>0</v>
      </c>
      <c r="L61" s="42"/>
      <c r="M61" s="42"/>
      <c r="N61" s="42"/>
      <c r="O61" s="42"/>
    </row>
    <row r="62" ht="22.5" customHeight="1">
      <c r="A62" s="42"/>
      <c r="B62" s="42"/>
      <c r="C62" s="42"/>
      <c r="D62" s="42"/>
      <c r="E62" s="43"/>
      <c r="F62" s="43"/>
      <c r="G62" s="37"/>
      <c r="H62" s="44"/>
      <c r="I62" s="42"/>
      <c r="J62" s="42"/>
      <c r="K62" s="42">
        <f t="shared" si="2"/>
        <v>0</v>
      </c>
      <c r="L62" s="42"/>
      <c r="M62" s="42"/>
      <c r="N62" s="42"/>
      <c r="O62" s="42"/>
    </row>
    <row r="63" ht="22.5" customHeight="1">
      <c r="A63" s="42"/>
      <c r="B63" s="42"/>
      <c r="C63" s="42"/>
      <c r="D63" s="42"/>
      <c r="E63" s="43"/>
      <c r="F63" s="43"/>
      <c r="G63" s="37"/>
      <c r="H63" s="44"/>
      <c r="I63" s="42"/>
      <c r="J63" s="42"/>
      <c r="K63" s="42">
        <f t="shared" si="2"/>
        <v>0</v>
      </c>
      <c r="L63" s="42"/>
      <c r="M63" s="42"/>
      <c r="N63" s="42"/>
      <c r="O63" s="42"/>
    </row>
    <row r="64" ht="22.5" customHeight="1">
      <c r="A64" s="42"/>
      <c r="B64" s="42"/>
      <c r="C64" s="42"/>
      <c r="D64" s="42"/>
      <c r="E64" s="43"/>
      <c r="F64" s="43"/>
      <c r="G64" s="37"/>
      <c r="H64" s="44"/>
      <c r="I64" s="42"/>
      <c r="J64" s="42"/>
      <c r="K64" s="42">
        <f t="shared" si="2"/>
        <v>0</v>
      </c>
      <c r="L64" s="42"/>
      <c r="M64" s="42"/>
      <c r="N64" s="42"/>
      <c r="O64" s="42"/>
    </row>
    <row r="65" ht="22.5" customHeight="1">
      <c r="A65" s="42"/>
      <c r="B65" s="42"/>
      <c r="C65" s="42"/>
      <c r="D65" s="42"/>
      <c r="E65" s="43"/>
      <c r="F65" s="43"/>
      <c r="G65" s="37"/>
      <c r="H65" s="44"/>
      <c r="I65" s="42"/>
      <c r="J65" s="42"/>
      <c r="K65" s="42">
        <f t="shared" si="2"/>
        <v>0</v>
      </c>
      <c r="L65" s="42"/>
      <c r="M65" s="42"/>
      <c r="N65" s="42"/>
      <c r="O65" s="42"/>
    </row>
    <row r="66" ht="22.5" customHeight="1">
      <c r="A66" s="42"/>
      <c r="B66" s="42"/>
      <c r="C66" s="42"/>
      <c r="D66" s="42"/>
      <c r="E66" s="43"/>
      <c r="F66" s="43"/>
      <c r="G66" s="37"/>
      <c r="H66" s="44"/>
      <c r="I66" s="42"/>
      <c r="J66" s="42"/>
      <c r="K66" s="42">
        <f t="shared" si="2"/>
        <v>0</v>
      </c>
      <c r="L66" s="42"/>
      <c r="M66" s="42"/>
      <c r="N66" s="42"/>
      <c r="O66" s="42"/>
    </row>
    <row r="67" ht="22.5" customHeight="1">
      <c r="A67" s="42"/>
      <c r="B67" s="42"/>
      <c r="C67" s="42"/>
      <c r="D67" s="42"/>
      <c r="E67" s="43"/>
      <c r="F67" s="43"/>
      <c r="G67" s="37"/>
      <c r="H67" s="44"/>
      <c r="I67" s="42"/>
      <c r="J67" s="42"/>
      <c r="K67" s="42">
        <f t="shared" si="2"/>
        <v>0</v>
      </c>
      <c r="L67" s="42"/>
      <c r="M67" s="42"/>
      <c r="N67" s="42"/>
      <c r="O67" s="42"/>
    </row>
    <row r="68" ht="22.5" customHeight="1">
      <c r="A68" s="42"/>
      <c r="B68" s="42"/>
      <c r="C68" s="42"/>
      <c r="D68" s="42"/>
      <c r="E68" s="43"/>
      <c r="F68" s="43"/>
      <c r="G68" s="37"/>
      <c r="H68" s="44"/>
      <c r="I68" s="42"/>
      <c r="J68" s="42"/>
      <c r="K68" s="42">
        <f t="shared" si="2"/>
        <v>0</v>
      </c>
      <c r="L68" s="42"/>
      <c r="M68" s="42"/>
      <c r="N68" s="42"/>
      <c r="O68" s="42"/>
    </row>
    <row r="69" ht="22.5" customHeight="1">
      <c r="A69" s="42"/>
      <c r="B69" s="42"/>
      <c r="C69" s="42"/>
      <c r="D69" s="42"/>
      <c r="E69" s="43"/>
      <c r="F69" s="43"/>
      <c r="G69" s="37"/>
      <c r="H69" s="44"/>
      <c r="I69" s="42"/>
      <c r="J69" s="42"/>
      <c r="K69" s="42">
        <f t="shared" si="2"/>
        <v>0</v>
      </c>
      <c r="L69" s="42"/>
      <c r="M69" s="42"/>
      <c r="N69" s="42"/>
      <c r="O69" s="42"/>
    </row>
    <row r="70" ht="22.5" customHeight="1">
      <c r="A70" s="42"/>
      <c r="B70" s="42"/>
      <c r="C70" s="42"/>
      <c r="D70" s="42"/>
      <c r="E70" s="43"/>
      <c r="F70" s="43"/>
      <c r="G70" s="37"/>
      <c r="H70" s="44"/>
      <c r="I70" s="42"/>
      <c r="J70" s="42"/>
      <c r="K70" s="42">
        <f t="shared" si="2"/>
        <v>0</v>
      </c>
      <c r="L70" s="42"/>
      <c r="M70" s="42"/>
      <c r="N70" s="42"/>
      <c r="O70" s="42"/>
    </row>
    <row r="71" ht="22.5" customHeight="1">
      <c r="A71" s="42"/>
      <c r="B71" s="42"/>
      <c r="C71" s="42"/>
      <c r="D71" s="42"/>
      <c r="E71" s="43"/>
      <c r="F71" s="43"/>
      <c r="G71" s="37"/>
      <c r="H71" s="44"/>
      <c r="I71" s="42"/>
      <c r="J71" s="42"/>
      <c r="K71" s="42">
        <f t="shared" si="2"/>
        <v>0</v>
      </c>
      <c r="L71" s="42"/>
      <c r="M71" s="42"/>
      <c r="N71" s="42"/>
      <c r="O71" s="42"/>
    </row>
    <row r="72" ht="22.5" customHeight="1">
      <c r="A72" s="42"/>
      <c r="B72" s="42"/>
      <c r="C72" s="42"/>
      <c r="D72" s="42"/>
      <c r="E72" s="43"/>
      <c r="F72" s="43"/>
      <c r="G72" s="37"/>
      <c r="H72" s="44"/>
      <c r="I72" s="42"/>
      <c r="J72" s="42"/>
      <c r="K72" s="42">
        <f t="shared" si="2"/>
        <v>0</v>
      </c>
      <c r="L72" s="42"/>
      <c r="M72" s="42"/>
      <c r="N72" s="42"/>
      <c r="O72" s="42"/>
    </row>
    <row r="73" ht="22.5" customHeight="1">
      <c r="A73" s="42"/>
      <c r="B73" s="42"/>
      <c r="C73" s="42"/>
      <c r="D73" s="42"/>
      <c r="E73" s="43"/>
      <c r="F73" s="43"/>
      <c r="G73" s="37"/>
      <c r="H73" s="44"/>
      <c r="I73" s="42"/>
      <c r="J73" s="42"/>
      <c r="K73" s="42">
        <f t="shared" si="2"/>
        <v>0</v>
      </c>
      <c r="L73" s="42"/>
      <c r="M73" s="42"/>
      <c r="N73" s="42"/>
      <c r="O73" s="42"/>
    </row>
    <row r="74" ht="22.5" customHeight="1">
      <c r="A74" s="42"/>
      <c r="B74" s="42"/>
      <c r="C74" s="42"/>
      <c r="D74" s="42"/>
      <c r="E74" s="43"/>
      <c r="F74" s="43"/>
      <c r="G74" s="37"/>
      <c r="H74" s="44"/>
      <c r="I74" s="42"/>
      <c r="J74" s="42"/>
      <c r="K74" s="42">
        <f t="shared" si="2"/>
        <v>0</v>
      </c>
      <c r="L74" s="42"/>
      <c r="M74" s="42"/>
      <c r="N74" s="42"/>
      <c r="O74" s="42"/>
    </row>
    <row r="75" ht="22.5" customHeight="1">
      <c r="A75" s="42"/>
      <c r="B75" s="42"/>
      <c r="C75" s="42"/>
      <c r="D75" s="42"/>
      <c r="E75" s="43"/>
      <c r="F75" s="43"/>
      <c r="G75" s="37"/>
      <c r="H75" s="44"/>
      <c r="I75" s="42"/>
      <c r="J75" s="42"/>
      <c r="K75" s="42">
        <f t="shared" si="2"/>
        <v>0</v>
      </c>
      <c r="L75" s="42"/>
      <c r="M75" s="42"/>
      <c r="N75" s="42"/>
      <c r="O75" s="42"/>
    </row>
    <row r="76" ht="22.5" customHeight="1">
      <c r="A76" s="42"/>
      <c r="B76" s="42"/>
      <c r="C76" s="42"/>
      <c r="D76" s="42"/>
      <c r="E76" s="43"/>
      <c r="F76" s="43"/>
      <c r="G76" s="37"/>
      <c r="H76" s="44"/>
      <c r="I76" s="42"/>
      <c r="J76" s="42"/>
      <c r="K76" s="42">
        <f t="shared" si="2"/>
        <v>0</v>
      </c>
      <c r="L76" s="42"/>
      <c r="M76" s="42"/>
      <c r="N76" s="42"/>
      <c r="O76" s="42"/>
    </row>
    <row r="77" ht="22.5" customHeight="1">
      <c r="A77" s="42"/>
      <c r="B77" s="42"/>
      <c r="C77" s="42"/>
      <c r="D77" s="42"/>
      <c r="E77" s="43"/>
      <c r="F77" s="43"/>
      <c r="G77" s="37"/>
      <c r="H77" s="44"/>
      <c r="I77" s="42"/>
      <c r="J77" s="42"/>
      <c r="K77" s="42">
        <f t="shared" si="2"/>
        <v>0</v>
      </c>
      <c r="L77" s="42"/>
      <c r="M77" s="42"/>
      <c r="N77" s="42"/>
      <c r="O77" s="42"/>
    </row>
    <row r="78" ht="22.5" customHeight="1">
      <c r="A78" s="42"/>
      <c r="B78" s="42"/>
      <c r="C78" s="42"/>
      <c r="D78" s="42"/>
      <c r="E78" s="43"/>
      <c r="F78" s="43"/>
      <c r="G78" s="37"/>
      <c r="H78" s="44"/>
      <c r="I78" s="42"/>
      <c r="J78" s="42"/>
      <c r="K78" s="42">
        <f t="shared" si="2"/>
        <v>0</v>
      </c>
      <c r="L78" s="42"/>
      <c r="M78" s="42"/>
      <c r="N78" s="42"/>
      <c r="O78" s="42"/>
    </row>
    <row r="79" ht="22.5" customHeight="1">
      <c r="A79" s="42"/>
      <c r="B79" s="42"/>
      <c r="C79" s="42"/>
      <c r="D79" s="42"/>
      <c r="E79" s="43"/>
      <c r="F79" s="43"/>
      <c r="G79" s="37"/>
      <c r="H79" s="44"/>
      <c r="I79" s="42"/>
      <c r="J79" s="42"/>
      <c r="K79" s="42">
        <f t="shared" si="2"/>
        <v>0</v>
      </c>
      <c r="L79" s="42"/>
      <c r="M79" s="42"/>
      <c r="N79" s="42"/>
      <c r="O79" s="42"/>
    </row>
    <row r="80" ht="22.5" customHeight="1">
      <c r="A80" s="42"/>
      <c r="B80" s="42"/>
      <c r="C80" s="42"/>
      <c r="D80" s="42"/>
      <c r="E80" s="43"/>
      <c r="F80" s="43"/>
      <c r="G80" s="37"/>
      <c r="H80" s="44"/>
      <c r="I80" s="42"/>
      <c r="J80" s="42"/>
      <c r="K80" s="42">
        <f t="shared" si="2"/>
        <v>0</v>
      </c>
      <c r="L80" s="42"/>
      <c r="M80" s="42"/>
      <c r="N80" s="42"/>
      <c r="O80" s="42"/>
    </row>
    <row r="81" ht="22.5" customHeight="1">
      <c r="A81" s="42"/>
      <c r="B81" s="42"/>
      <c r="C81" s="42"/>
      <c r="D81" s="42"/>
      <c r="E81" s="43"/>
      <c r="F81" s="43"/>
      <c r="G81" s="37"/>
      <c r="H81" s="44"/>
      <c r="I81" s="42"/>
      <c r="J81" s="42"/>
      <c r="K81" s="42">
        <f t="shared" si="2"/>
        <v>0</v>
      </c>
      <c r="L81" s="42"/>
      <c r="M81" s="42"/>
      <c r="N81" s="42"/>
      <c r="O81" s="42"/>
    </row>
    <row r="82" ht="22.5" customHeight="1">
      <c r="A82" s="42"/>
      <c r="B82" s="42"/>
      <c r="C82" s="42"/>
      <c r="D82" s="42"/>
      <c r="E82" s="43"/>
      <c r="F82" s="43"/>
      <c r="G82" s="37"/>
      <c r="H82" s="44"/>
      <c r="I82" s="42"/>
      <c r="J82" s="42"/>
      <c r="K82" s="42">
        <f t="shared" si="2"/>
        <v>0</v>
      </c>
      <c r="L82" s="42"/>
      <c r="M82" s="42"/>
      <c r="N82" s="42"/>
      <c r="O82" s="42"/>
    </row>
    <row r="83" ht="22.5" customHeight="1">
      <c r="A83" s="42"/>
      <c r="B83" s="42"/>
      <c r="C83" s="42"/>
      <c r="D83" s="42"/>
      <c r="E83" s="43"/>
      <c r="F83" s="43"/>
      <c r="G83" s="37"/>
      <c r="H83" s="44"/>
      <c r="I83" s="42"/>
      <c r="J83" s="42"/>
      <c r="K83" s="42">
        <f t="shared" si="2"/>
        <v>0</v>
      </c>
      <c r="L83" s="42"/>
      <c r="M83" s="42"/>
      <c r="N83" s="42"/>
      <c r="O83" s="42"/>
    </row>
    <row r="84" ht="22.5" customHeight="1">
      <c r="A84" s="42"/>
      <c r="B84" s="42"/>
      <c r="C84" s="42"/>
      <c r="D84" s="42"/>
      <c r="E84" s="43"/>
      <c r="F84" s="43"/>
      <c r="G84" s="37"/>
      <c r="H84" s="44"/>
      <c r="I84" s="42"/>
      <c r="J84" s="42"/>
      <c r="K84" s="42">
        <f t="shared" si="2"/>
        <v>0</v>
      </c>
      <c r="L84" s="42"/>
      <c r="M84" s="42"/>
      <c r="N84" s="42"/>
      <c r="O84" s="42"/>
    </row>
    <row r="85">
      <c r="E85" s="45"/>
      <c r="F85" s="45"/>
      <c r="G85" s="46"/>
    </row>
    <row r="86">
      <c r="E86" s="45"/>
      <c r="F86" s="45"/>
      <c r="G86" s="46"/>
    </row>
    <row r="87">
      <c r="E87" s="45"/>
      <c r="F87" s="45"/>
      <c r="G87" s="46"/>
    </row>
    <row r="88">
      <c r="E88" s="45"/>
      <c r="F88" s="45"/>
      <c r="G88" s="46"/>
    </row>
    <row r="89">
      <c r="E89" s="45"/>
      <c r="F89" s="45"/>
      <c r="G89" s="46"/>
    </row>
    <row r="90">
      <c r="E90" s="45"/>
      <c r="F90" s="45"/>
      <c r="G90" s="46"/>
    </row>
    <row r="91">
      <c r="E91" s="45"/>
      <c r="F91" s="45"/>
      <c r="G91" s="46"/>
    </row>
    <row r="92">
      <c r="E92" s="45"/>
      <c r="F92" s="45"/>
      <c r="G92" s="46"/>
    </row>
    <row r="93">
      <c r="E93" s="45"/>
      <c r="F93" s="45"/>
      <c r="G93" s="46"/>
    </row>
    <row r="94">
      <c r="E94" s="45"/>
      <c r="F94" s="45"/>
      <c r="G94" s="46"/>
    </row>
    <row r="95">
      <c r="E95" s="45"/>
      <c r="F95" s="45"/>
      <c r="G95" s="46"/>
    </row>
    <row r="96">
      <c r="E96" s="45"/>
      <c r="F96" s="45"/>
      <c r="G96" s="46"/>
    </row>
    <row r="97">
      <c r="E97" s="45"/>
      <c r="F97" s="45"/>
      <c r="G97" s="46"/>
    </row>
    <row r="98">
      <c r="E98" s="45"/>
      <c r="F98" s="45"/>
      <c r="G98" s="46"/>
    </row>
    <row r="99">
      <c r="E99" s="45"/>
      <c r="F99" s="45"/>
      <c r="G99" s="46"/>
    </row>
    <row r="100">
      <c r="E100" s="45"/>
      <c r="F100" s="45"/>
      <c r="G100" s="46"/>
    </row>
    <row r="101">
      <c r="E101" s="45"/>
      <c r="F101" s="45"/>
      <c r="G101" s="46"/>
    </row>
    <row r="102">
      <c r="E102" s="45"/>
      <c r="F102" s="45"/>
      <c r="G102" s="46"/>
    </row>
    <row r="103">
      <c r="E103" s="45"/>
      <c r="F103" s="45"/>
      <c r="G103" s="46"/>
    </row>
    <row r="104">
      <c r="E104" s="45"/>
      <c r="F104" s="45"/>
      <c r="G104" s="46"/>
    </row>
    <row r="105">
      <c r="E105" s="45"/>
      <c r="F105" s="45"/>
      <c r="G105" s="46"/>
    </row>
    <row r="106">
      <c r="E106" s="45"/>
      <c r="F106" s="45"/>
      <c r="G106" s="46"/>
    </row>
    <row r="107">
      <c r="E107" s="45"/>
      <c r="F107" s="45"/>
      <c r="G107" s="46"/>
    </row>
    <row r="108">
      <c r="E108" s="45"/>
      <c r="F108" s="45"/>
      <c r="G108" s="46"/>
    </row>
    <row r="109">
      <c r="E109" s="45"/>
      <c r="F109" s="45"/>
      <c r="G109" s="46"/>
    </row>
    <row r="110">
      <c r="E110" s="45"/>
      <c r="F110" s="45"/>
      <c r="G110" s="46"/>
    </row>
    <row r="111">
      <c r="E111" s="45"/>
      <c r="F111" s="45"/>
      <c r="G111" s="46"/>
    </row>
    <row r="112">
      <c r="E112" s="45"/>
      <c r="F112" s="45"/>
      <c r="G112" s="46"/>
    </row>
    <row r="113">
      <c r="E113" s="45"/>
      <c r="F113" s="45"/>
      <c r="G113" s="46"/>
    </row>
    <row r="114">
      <c r="E114" s="45"/>
      <c r="F114" s="45"/>
      <c r="G114" s="46"/>
    </row>
    <row r="115">
      <c r="E115" s="45"/>
      <c r="F115" s="45"/>
      <c r="G115" s="46"/>
    </row>
    <row r="116">
      <c r="E116" s="45"/>
      <c r="F116" s="45"/>
      <c r="G116" s="46"/>
    </row>
    <row r="117">
      <c r="E117" s="45"/>
      <c r="F117" s="45"/>
      <c r="G117" s="46"/>
    </row>
    <row r="118">
      <c r="E118" s="45"/>
      <c r="F118" s="45"/>
      <c r="G118" s="46"/>
    </row>
    <row r="119">
      <c r="E119" s="45"/>
      <c r="F119" s="45"/>
      <c r="G119" s="46"/>
    </row>
    <row r="120">
      <c r="E120" s="45"/>
      <c r="F120" s="45"/>
      <c r="G120" s="46"/>
    </row>
    <row r="121">
      <c r="E121" s="45"/>
      <c r="F121" s="45"/>
      <c r="G121" s="46"/>
    </row>
    <row r="122">
      <c r="E122" s="45"/>
      <c r="F122" s="45"/>
      <c r="G122" s="46"/>
    </row>
    <row r="123">
      <c r="E123" s="45"/>
      <c r="F123" s="45"/>
      <c r="G123" s="46"/>
    </row>
    <row r="124">
      <c r="E124" s="45"/>
      <c r="F124" s="45"/>
      <c r="G124" s="46"/>
    </row>
    <row r="125">
      <c r="E125" s="45"/>
      <c r="F125" s="45"/>
      <c r="G125" s="46"/>
    </row>
    <row r="126">
      <c r="E126" s="45"/>
      <c r="F126" s="45"/>
      <c r="G126" s="46"/>
    </row>
    <row r="127">
      <c r="E127" s="45"/>
      <c r="F127" s="45"/>
      <c r="G127" s="46"/>
    </row>
    <row r="128">
      <c r="E128" s="45"/>
      <c r="F128" s="45"/>
      <c r="G128" s="46"/>
    </row>
    <row r="129">
      <c r="E129" s="45"/>
      <c r="F129" s="45"/>
      <c r="G129" s="46"/>
    </row>
    <row r="130">
      <c r="E130" s="45"/>
      <c r="F130" s="45"/>
      <c r="G130" s="46"/>
    </row>
    <row r="131">
      <c r="E131" s="45"/>
      <c r="F131" s="45"/>
      <c r="G131" s="46"/>
    </row>
    <row r="132">
      <c r="E132" s="45"/>
      <c r="F132" s="45"/>
      <c r="G132" s="46"/>
    </row>
    <row r="133">
      <c r="E133" s="45"/>
      <c r="F133" s="45"/>
      <c r="G133" s="46"/>
    </row>
    <row r="134">
      <c r="E134" s="45"/>
      <c r="F134" s="45"/>
      <c r="G134" s="46"/>
    </row>
    <row r="135">
      <c r="E135" s="45"/>
      <c r="F135" s="45"/>
      <c r="G135" s="46"/>
    </row>
    <row r="136">
      <c r="E136" s="45"/>
      <c r="F136" s="45"/>
      <c r="G136" s="46"/>
    </row>
    <row r="137">
      <c r="E137" s="45"/>
      <c r="F137" s="45"/>
      <c r="G137" s="46"/>
    </row>
    <row r="138">
      <c r="E138" s="45"/>
      <c r="F138" s="45"/>
      <c r="G138" s="46"/>
    </row>
    <row r="139">
      <c r="E139" s="45"/>
      <c r="F139" s="45"/>
      <c r="G139" s="46"/>
    </row>
    <row r="140">
      <c r="E140" s="45"/>
      <c r="F140" s="45"/>
      <c r="G140" s="46"/>
    </row>
    <row r="141">
      <c r="E141" s="45"/>
      <c r="F141" s="45"/>
      <c r="G141" s="46"/>
    </row>
    <row r="142">
      <c r="E142" s="45"/>
      <c r="F142" s="45"/>
      <c r="G142" s="46"/>
    </row>
    <row r="143">
      <c r="E143" s="45"/>
      <c r="F143" s="45"/>
      <c r="G143" s="46"/>
    </row>
    <row r="144">
      <c r="E144" s="45"/>
      <c r="F144" s="45"/>
      <c r="G144" s="46"/>
    </row>
    <row r="145">
      <c r="E145" s="45"/>
      <c r="F145" s="45"/>
      <c r="G145" s="46"/>
    </row>
    <row r="146">
      <c r="E146" s="45"/>
      <c r="F146" s="45"/>
      <c r="G146" s="46"/>
    </row>
    <row r="147">
      <c r="E147" s="45"/>
      <c r="F147" s="45"/>
      <c r="G147" s="46"/>
    </row>
    <row r="148">
      <c r="E148" s="45"/>
      <c r="F148" s="45"/>
      <c r="G148" s="46"/>
    </row>
    <row r="149">
      <c r="E149" s="45"/>
      <c r="F149" s="45"/>
      <c r="G149" s="46"/>
    </row>
    <row r="150">
      <c r="E150" s="45"/>
      <c r="F150" s="45"/>
      <c r="G150" s="46"/>
    </row>
    <row r="151">
      <c r="E151" s="45"/>
      <c r="F151" s="45"/>
      <c r="G151" s="46"/>
    </row>
    <row r="152">
      <c r="E152" s="45"/>
      <c r="F152" s="45"/>
      <c r="G152" s="46"/>
    </row>
    <row r="153">
      <c r="E153" s="45"/>
      <c r="F153" s="45"/>
      <c r="G153" s="46"/>
    </row>
    <row r="154">
      <c r="E154" s="45"/>
      <c r="F154" s="45"/>
      <c r="G154" s="46"/>
    </row>
    <row r="155">
      <c r="E155" s="45"/>
      <c r="F155" s="45"/>
      <c r="G155" s="46"/>
    </row>
    <row r="156">
      <c r="E156" s="45"/>
      <c r="F156" s="45"/>
      <c r="G156" s="46"/>
    </row>
    <row r="157">
      <c r="E157" s="45"/>
      <c r="F157" s="45"/>
      <c r="G157" s="46"/>
    </row>
    <row r="158">
      <c r="E158" s="45"/>
      <c r="F158" s="45"/>
      <c r="G158" s="46"/>
    </row>
    <row r="159">
      <c r="E159" s="45"/>
      <c r="F159" s="45"/>
      <c r="G159" s="46"/>
    </row>
    <row r="160">
      <c r="E160" s="45"/>
      <c r="F160" s="45"/>
      <c r="G160" s="46"/>
    </row>
    <row r="161">
      <c r="E161" s="45"/>
      <c r="F161" s="45"/>
      <c r="G161" s="46"/>
    </row>
    <row r="162">
      <c r="E162" s="45"/>
      <c r="F162" s="45"/>
      <c r="G162" s="46"/>
    </row>
    <row r="163">
      <c r="E163" s="45"/>
      <c r="F163" s="45"/>
      <c r="G163" s="46"/>
    </row>
    <row r="164">
      <c r="E164" s="45"/>
      <c r="F164" s="45"/>
      <c r="G164" s="46"/>
    </row>
    <row r="165">
      <c r="E165" s="45"/>
      <c r="F165" s="45"/>
      <c r="G165" s="46"/>
    </row>
    <row r="166">
      <c r="E166" s="45"/>
      <c r="F166" s="45"/>
      <c r="G166" s="46"/>
    </row>
    <row r="167">
      <c r="E167" s="45"/>
      <c r="F167" s="45"/>
      <c r="G167" s="46"/>
    </row>
    <row r="168">
      <c r="E168" s="45"/>
      <c r="F168" s="45"/>
      <c r="G168" s="46"/>
    </row>
    <row r="169">
      <c r="E169" s="45"/>
      <c r="F169" s="45"/>
      <c r="G169" s="46"/>
    </row>
    <row r="170">
      <c r="E170" s="45"/>
      <c r="F170" s="45"/>
      <c r="G170" s="46"/>
    </row>
    <row r="171">
      <c r="E171" s="45"/>
      <c r="F171" s="45"/>
      <c r="G171" s="46"/>
    </row>
    <row r="172">
      <c r="E172" s="45"/>
      <c r="F172" s="45"/>
      <c r="G172" s="46"/>
    </row>
    <row r="173">
      <c r="E173" s="45"/>
      <c r="F173" s="45"/>
      <c r="G173" s="46"/>
    </row>
    <row r="174">
      <c r="E174" s="45"/>
      <c r="F174" s="45"/>
      <c r="G174" s="46"/>
    </row>
    <row r="175">
      <c r="E175" s="45"/>
      <c r="F175" s="45"/>
      <c r="G175" s="46"/>
    </row>
    <row r="176">
      <c r="E176" s="45"/>
      <c r="F176" s="45"/>
      <c r="G176" s="46"/>
    </row>
    <row r="177">
      <c r="E177" s="45"/>
      <c r="F177" s="45"/>
      <c r="G177" s="46"/>
    </row>
    <row r="178">
      <c r="E178" s="45"/>
      <c r="F178" s="45"/>
      <c r="G178" s="46"/>
    </row>
    <row r="179">
      <c r="E179" s="45"/>
      <c r="F179" s="45"/>
      <c r="G179" s="46"/>
    </row>
    <row r="180">
      <c r="E180" s="45"/>
      <c r="F180" s="45"/>
      <c r="G180" s="46"/>
    </row>
    <row r="181">
      <c r="E181" s="45"/>
      <c r="F181" s="45"/>
      <c r="G181" s="46"/>
    </row>
    <row r="182">
      <c r="E182" s="45"/>
      <c r="F182" s="45"/>
      <c r="G182" s="46"/>
    </row>
    <row r="183">
      <c r="E183" s="45"/>
      <c r="F183" s="45"/>
      <c r="G183" s="46"/>
    </row>
    <row r="184">
      <c r="E184" s="45"/>
      <c r="F184" s="45"/>
      <c r="G184" s="46"/>
    </row>
    <row r="185">
      <c r="E185" s="45"/>
      <c r="F185" s="45"/>
      <c r="G185" s="46"/>
    </row>
    <row r="186">
      <c r="E186" s="45"/>
      <c r="F186" s="45"/>
      <c r="G186" s="46"/>
    </row>
    <row r="187">
      <c r="E187" s="45"/>
      <c r="F187" s="45"/>
      <c r="G187" s="46"/>
    </row>
    <row r="188">
      <c r="E188" s="45"/>
      <c r="F188" s="45"/>
      <c r="G188" s="46"/>
    </row>
    <row r="189">
      <c r="E189" s="45"/>
      <c r="F189" s="45"/>
      <c r="G189" s="46"/>
    </row>
    <row r="190">
      <c r="E190" s="45"/>
      <c r="F190" s="45"/>
      <c r="G190" s="46"/>
    </row>
    <row r="191">
      <c r="E191" s="45"/>
      <c r="F191" s="45"/>
      <c r="G191" s="46"/>
    </row>
    <row r="192">
      <c r="E192" s="45"/>
      <c r="F192" s="45"/>
      <c r="G192" s="46"/>
    </row>
    <row r="193">
      <c r="E193" s="45"/>
      <c r="F193" s="45"/>
      <c r="G193" s="46"/>
    </row>
    <row r="194">
      <c r="E194" s="45"/>
      <c r="F194" s="45"/>
      <c r="G194" s="46"/>
    </row>
    <row r="195">
      <c r="E195" s="45"/>
      <c r="F195" s="45"/>
      <c r="G195" s="46"/>
    </row>
    <row r="196">
      <c r="E196" s="45"/>
      <c r="F196" s="45"/>
      <c r="G196" s="46"/>
    </row>
    <row r="197">
      <c r="E197" s="45"/>
      <c r="F197" s="45"/>
      <c r="G197" s="46"/>
    </row>
    <row r="198">
      <c r="E198" s="45"/>
      <c r="F198" s="45"/>
      <c r="G198" s="46"/>
    </row>
    <row r="199">
      <c r="E199" s="45"/>
      <c r="F199" s="45"/>
      <c r="G199" s="46"/>
    </row>
    <row r="200">
      <c r="E200" s="45"/>
      <c r="F200" s="45"/>
      <c r="G200" s="46"/>
    </row>
    <row r="201">
      <c r="E201" s="45"/>
      <c r="F201" s="45"/>
      <c r="G201" s="46"/>
    </row>
    <row r="202">
      <c r="E202" s="45"/>
      <c r="F202" s="45"/>
      <c r="G202" s="46"/>
    </row>
    <row r="203">
      <c r="E203" s="45"/>
      <c r="F203" s="45"/>
      <c r="G203" s="46"/>
    </row>
    <row r="204">
      <c r="E204" s="45"/>
      <c r="F204" s="45"/>
      <c r="G204" s="46"/>
    </row>
    <row r="205">
      <c r="E205" s="45"/>
      <c r="F205" s="45"/>
      <c r="G205" s="46"/>
    </row>
    <row r="206">
      <c r="E206" s="45"/>
      <c r="F206" s="45"/>
      <c r="G206" s="46"/>
    </row>
    <row r="207">
      <c r="E207" s="45"/>
      <c r="F207" s="45"/>
      <c r="G207" s="46"/>
    </row>
    <row r="208">
      <c r="E208" s="45"/>
      <c r="F208" s="45"/>
      <c r="G208" s="46"/>
    </row>
    <row r="209">
      <c r="E209" s="45"/>
      <c r="F209" s="45"/>
      <c r="G209" s="46"/>
    </row>
    <row r="210">
      <c r="E210" s="45"/>
      <c r="F210" s="45"/>
      <c r="G210" s="46"/>
    </row>
    <row r="211">
      <c r="E211" s="45"/>
      <c r="F211" s="45"/>
      <c r="G211" s="46"/>
    </row>
    <row r="212">
      <c r="E212" s="45"/>
      <c r="F212" s="45"/>
      <c r="G212" s="46"/>
    </row>
    <row r="213">
      <c r="E213" s="45"/>
      <c r="F213" s="45"/>
      <c r="G213" s="46"/>
    </row>
    <row r="214">
      <c r="E214" s="45"/>
      <c r="F214" s="45"/>
      <c r="G214" s="46"/>
    </row>
    <row r="215">
      <c r="E215" s="45"/>
      <c r="F215" s="45"/>
      <c r="G215" s="46"/>
    </row>
    <row r="216">
      <c r="E216" s="45"/>
      <c r="F216" s="45"/>
      <c r="G216" s="46"/>
    </row>
    <row r="217">
      <c r="E217" s="45"/>
      <c r="F217" s="45"/>
      <c r="G217" s="46"/>
    </row>
    <row r="218">
      <c r="E218" s="45"/>
      <c r="F218" s="45"/>
      <c r="G218" s="46"/>
    </row>
    <row r="219">
      <c r="E219" s="45"/>
      <c r="F219" s="45"/>
      <c r="G219" s="46"/>
    </row>
    <row r="220">
      <c r="E220" s="45"/>
      <c r="F220" s="45"/>
      <c r="G220" s="46"/>
    </row>
    <row r="221">
      <c r="E221" s="45"/>
      <c r="F221" s="45"/>
      <c r="G221" s="46"/>
    </row>
    <row r="222">
      <c r="E222" s="45"/>
      <c r="F222" s="45"/>
      <c r="G222" s="46"/>
    </row>
    <row r="223">
      <c r="E223" s="45"/>
      <c r="F223" s="45"/>
      <c r="G223" s="46"/>
    </row>
    <row r="224">
      <c r="E224" s="45"/>
      <c r="F224" s="45"/>
      <c r="G224" s="46"/>
    </row>
    <row r="225">
      <c r="E225" s="45"/>
      <c r="F225" s="45"/>
      <c r="G225" s="46"/>
    </row>
    <row r="226">
      <c r="E226" s="45"/>
      <c r="F226" s="45"/>
      <c r="G226" s="46"/>
    </row>
    <row r="227">
      <c r="E227" s="45"/>
      <c r="F227" s="45"/>
      <c r="G227" s="46"/>
    </row>
    <row r="228">
      <c r="E228" s="45"/>
      <c r="F228" s="45"/>
      <c r="G228" s="46"/>
    </row>
    <row r="229">
      <c r="E229" s="45"/>
      <c r="F229" s="45"/>
      <c r="G229" s="46"/>
    </row>
    <row r="230">
      <c r="E230" s="45"/>
      <c r="F230" s="45"/>
      <c r="G230" s="46"/>
    </row>
    <row r="231">
      <c r="E231" s="45"/>
      <c r="F231" s="45"/>
      <c r="G231" s="46"/>
    </row>
    <row r="232">
      <c r="E232" s="45"/>
      <c r="F232" s="45"/>
      <c r="G232" s="46"/>
    </row>
    <row r="233">
      <c r="E233" s="45"/>
      <c r="F233" s="45"/>
      <c r="G233" s="46"/>
    </row>
    <row r="234">
      <c r="E234" s="45"/>
      <c r="F234" s="45"/>
      <c r="G234" s="46"/>
    </row>
    <row r="235">
      <c r="E235" s="45"/>
      <c r="F235" s="45"/>
      <c r="G235" s="46"/>
    </row>
    <row r="236">
      <c r="E236" s="45"/>
      <c r="F236" s="45"/>
      <c r="G236" s="46"/>
    </row>
    <row r="237">
      <c r="E237" s="45"/>
      <c r="F237" s="45"/>
      <c r="G237" s="46"/>
    </row>
    <row r="238">
      <c r="E238" s="45"/>
      <c r="F238" s="45"/>
      <c r="G238" s="46"/>
    </row>
    <row r="239">
      <c r="E239" s="45"/>
      <c r="F239" s="45"/>
      <c r="G239" s="46"/>
    </row>
    <row r="240">
      <c r="E240" s="45"/>
      <c r="F240" s="45"/>
      <c r="G240" s="46"/>
    </row>
    <row r="241">
      <c r="E241" s="45"/>
      <c r="F241" s="45"/>
      <c r="G241" s="46"/>
    </row>
    <row r="242">
      <c r="E242" s="45"/>
      <c r="F242" s="45"/>
      <c r="G242" s="46"/>
    </row>
    <row r="243">
      <c r="E243" s="45"/>
      <c r="F243" s="45"/>
      <c r="G243" s="46"/>
    </row>
    <row r="244">
      <c r="E244" s="45"/>
      <c r="F244" s="45"/>
      <c r="G244" s="46"/>
    </row>
    <row r="245">
      <c r="E245" s="45"/>
      <c r="F245" s="45"/>
      <c r="G245" s="46"/>
    </row>
    <row r="246">
      <c r="E246" s="45"/>
      <c r="F246" s="45"/>
      <c r="G246" s="46"/>
    </row>
    <row r="247">
      <c r="E247" s="45"/>
      <c r="F247" s="45"/>
      <c r="G247" s="46"/>
    </row>
    <row r="248">
      <c r="E248" s="45"/>
      <c r="F248" s="45"/>
      <c r="G248" s="46"/>
    </row>
    <row r="249">
      <c r="E249" s="45"/>
      <c r="F249" s="45"/>
      <c r="G249" s="46"/>
    </row>
    <row r="250">
      <c r="E250" s="45"/>
      <c r="F250" s="45"/>
      <c r="G250" s="46"/>
    </row>
    <row r="251">
      <c r="E251" s="45"/>
      <c r="F251" s="45"/>
      <c r="G251" s="46"/>
    </row>
    <row r="252">
      <c r="E252" s="45"/>
      <c r="F252" s="45"/>
      <c r="G252" s="46"/>
    </row>
    <row r="253">
      <c r="E253" s="45"/>
      <c r="F253" s="45"/>
      <c r="G253" s="46"/>
    </row>
    <row r="254">
      <c r="E254" s="45"/>
      <c r="F254" s="45"/>
      <c r="G254" s="46"/>
    </row>
    <row r="255">
      <c r="E255" s="45"/>
      <c r="F255" s="45"/>
      <c r="G255" s="46"/>
    </row>
    <row r="256">
      <c r="E256" s="45"/>
      <c r="F256" s="45"/>
      <c r="G256" s="46"/>
    </row>
    <row r="257">
      <c r="E257" s="45"/>
      <c r="F257" s="45"/>
      <c r="G257" s="46"/>
    </row>
    <row r="258">
      <c r="E258" s="45"/>
      <c r="F258" s="45"/>
      <c r="G258" s="46"/>
    </row>
    <row r="259">
      <c r="E259" s="45"/>
      <c r="F259" s="45"/>
      <c r="G259" s="46"/>
    </row>
    <row r="260">
      <c r="E260" s="45"/>
      <c r="F260" s="45"/>
      <c r="G260" s="46"/>
    </row>
    <row r="261">
      <c r="E261" s="45"/>
      <c r="F261" s="45"/>
      <c r="G261" s="46"/>
    </row>
    <row r="262">
      <c r="E262" s="45"/>
      <c r="F262" s="45"/>
      <c r="G262" s="46"/>
    </row>
    <row r="263">
      <c r="E263" s="45"/>
      <c r="F263" s="45"/>
      <c r="G263" s="46"/>
    </row>
    <row r="264">
      <c r="E264" s="45"/>
      <c r="F264" s="45"/>
      <c r="G264" s="46"/>
    </row>
    <row r="265">
      <c r="E265" s="45"/>
      <c r="F265" s="45"/>
      <c r="G265" s="46"/>
    </row>
    <row r="266">
      <c r="E266" s="45"/>
      <c r="F266" s="45"/>
      <c r="G266" s="46"/>
    </row>
    <row r="267">
      <c r="E267" s="45"/>
      <c r="F267" s="45"/>
      <c r="G267" s="46"/>
    </row>
    <row r="268">
      <c r="E268" s="45"/>
      <c r="F268" s="45"/>
      <c r="G268" s="46"/>
    </row>
    <row r="269">
      <c r="E269" s="45"/>
      <c r="F269" s="45"/>
      <c r="G269" s="46"/>
    </row>
    <row r="270">
      <c r="E270" s="45"/>
      <c r="F270" s="45"/>
      <c r="G270" s="46"/>
    </row>
    <row r="271">
      <c r="E271" s="45"/>
      <c r="F271" s="45"/>
      <c r="G271" s="46"/>
    </row>
    <row r="272">
      <c r="E272" s="45"/>
      <c r="F272" s="45"/>
      <c r="G272" s="46"/>
    </row>
    <row r="273">
      <c r="E273" s="45"/>
      <c r="F273" s="45"/>
      <c r="G273" s="46"/>
    </row>
    <row r="274">
      <c r="E274" s="45"/>
      <c r="F274" s="45"/>
      <c r="G274" s="46"/>
    </row>
    <row r="275">
      <c r="E275" s="45"/>
      <c r="F275" s="45"/>
      <c r="G275" s="46"/>
    </row>
    <row r="276">
      <c r="E276" s="45"/>
      <c r="F276" s="45"/>
      <c r="G276" s="46"/>
    </row>
    <row r="277">
      <c r="E277" s="45"/>
      <c r="F277" s="45"/>
      <c r="G277" s="46"/>
    </row>
    <row r="278">
      <c r="E278" s="45"/>
      <c r="F278" s="45"/>
      <c r="G278" s="46"/>
    </row>
    <row r="279">
      <c r="E279" s="45"/>
      <c r="F279" s="45"/>
      <c r="G279" s="46"/>
    </row>
    <row r="280">
      <c r="E280" s="45"/>
      <c r="F280" s="45"/>
      <c r="G280" s="46"/>
    </row>
    <row r="281">
      <c r="E281" s="45"/>
      <c r="F281" s="45"/>
      <c r="G281" s="46"/>
    </row>
    <row r="282">
      <c r="E282" s="45"/>
      <c r="F282" s="45"/>
      <c r="G282" s="46"/>
    </row>
    <row r="283">
      <c r="E283" s="45"/>
      <c r="F283" s="45"/>
      <c r="G283" s="46"/>
    </row>
    <row r="284">
      <c r="E284" s="45"/>
      <c r="F284" s="45"/>
      <c r="G284" s="46"/>
    </row>
    <row r="285">
      <c r="E285" s="45"/>
      <c r="F285" s="45"/>
      <c r="G285" s="46"/>
    </row>
    <row r="286">
      <c r="E286" s="45"/>
      <c r="F286" s="45"/>
      <c r="G286" s="46"/>
    </row>
    <row r="287">
      <c r="E287" s="45"/>
      <c r="F287" s="45"/>
      <c r="G287" s="46"/>
    </row>
    <row r="288">
      <c r="E288" s="45"/>
      <c r="F288" s="45"/>
      <c r="G288" s="46"/>
    </row>
    <row r="289">
      <c r="E289" s="45"/>
      <c r="F289" s="45"/>
      <c r="G289" s="46"/>
    </row>
    <row r="290">
      <c r="E290" s="45"/>
      <c r="F290" s="45"/>
      <c r="G290" s="46"/>
    </row>
    <row r="291">
      <c r="E291" s="45"/>
      <c r="F291" s="45"/>
      <c r="G291" s="46"/>
    </row>
    <row r="292">
      <c r="E292" s="45"/>
      <c r="F292" s="45"/>
      <c r="G292" s="46"/>
    </row>
    <row r="293">
      <c r="E293" s="45"/>
      <c r="F293" s="45"/>
      <c r="G293" s="46"/>
    </row>
    <row r="294">
      <c r="E294" s="45"/>
      <c r="F294" s="45"/>
      <c r="G294" s="46"/>
    </row>
    <row r="295">
      <c r="E295" s="45"/>
      <c r="F295" s="45"/>
      <c r="G295" s="46"/>
    </row>
    <row r="296">
      <c r="E296" s="45"/>
      <c r="F296" s="45"/>
      <c r="G296" s="46"/>
    </row>
    <row r="297">
      <c r="E297" s="45"/>
      <c r="F297" s="45"/>
      <c r="G297" s="46"/>
    </row>
    <row r="298">
      <c r="E298" s="45"/>
      <c r="F298" s="45"/>
      <c r="G298" s="46"/>
    </row>
    <row r="299">
      <c r="E299" s="45"/>
      <c r="F299" s="45"/>
      <c r="G299" s="46"/>
    </row>
    <row r="300">
      <c r="E300" s="45"/>
      <c r="F300" s="45"/>
      <c r="G300" s="46"/>
    </row>
    <row r="301">
      <c r="E301" s="45"/>
      <c r="F301" s="45"/>
      <c r="G301" s="46"/>
    </row>
    <row r="302">
      <c r="E302" s="45"/>
      <c r="F302" s="45"/>
      <c r="G302" s="46"/>
    </row>
    <row r="303">
      <c r="E303" s="45"/>
      <c r="F303" s="45"/>
      <c r="G303" s="46"/>
    </row>
    <row r="304">
      <c r="E304" s="45"/>
      <c r="F304" s="45"/>
      <c r="G304" s="46"/>
    </row>
    <row r="305">
      <c r="E305" s="45"/>
      <c r="F305" s="45"/>
      <c r="G305" s="46"/>
    </row>
    <row r="306">
      <c r="E306" s="45"/>
      <c r="F306" s="45"/>
      <c r="G306" s="46"/>
    </row>
    <row r="307">
      <c r="E307" s="45"/>
      <c r="F307" s="45"/>
      <c r="G307" s="46"/>
    </row>
    <row r="308">
      <c r="E308" s="45"/>
      <c r="F308" s="45"/>
      <c r="G308" s="46"/>
    </row>
    <row r="309">
      <c r="E309" s="45"/>
      <c r="F309" s="45"/>
      <c r="G309" s="46"/>
    </row>
    <row r="310">
      <c r="E310" s="45"/>
      <c r="F310" s="45"/>
      <c r="G310" s="46"/>
    </row>
    <row r="311">
      <c r="E311" s="45"/>
      <c r="F311" s="45"/>
      <c r="G311" s="46"/>
    </row>
    <row r="312">
      <c r="E312" s="45"/>
      <c r="F312" s="45"/>
      <c r="G312" s="46"/>
    </row>
    <row r="313">
      <c r="E313" s="45"/>
      <c r="F313" s="45"/>
      <c r="G313" s="46"/>
    </row>
    <row r="314">
      <c r="E314" s="45"/>
      <c r="F314" s="45"/>
      <c r="G314" s="46"/>
    </row>
    <row r="315">
      <c r="E315" s="45"/>
      <c r="F315" s="45"/>
      <c r="G315" s="46"/>
    </row>
    <row r="316">
      <c r="E316" s="45"/>
      <c r="F316" s="45"/>
      <c r="G316" s="46"/>
    </row>
    <row r="317">
      <c r="E317" s="45"/>
      <c r="F317" s="45"/>
      <c r="G317" s="46"/>
    </row>
    <row r="318">
      <c r="E318" s="45"/>
      <c r="F318" s="45"/>
      <c r="G318" s="46"/>
    </row>
    <row r="319">
      <c r="E319" s="45"/>
      <c r="F319" s="45"/>
      <c r="G319" s="46"/>
    </row>
    <row r="320">
      <c r="E320" s="45"/>
      <c r="F320" s="45"/>
      <c r="G320" s="46"/>
    </row>
    <row r="321">
      <c r="E321" s="45"/>
      <c r="F321" s="45"/>
      <c r="G321" s="46"/>
    </row>
    <row r="322">
      <c r="E322" s="45"/>
      <c r="F322" s="45"/>
      <c r="G322" s="46"/>
    </row>
    <row r="323">
      <c r="E323" s="45"/>
      <c r="F323" s="45"/>
      <c r="G323" s="46"/>
    </row>
    <row r="324">
      <c r="E324" s="45"/>
      <c r="F324" s="45"/>
      <c r="G324" s="46"/>
    </row>
    <row r="325">
      <c r="E325" s="45"/>
      <c r="F325" s="45"/>
      <c r="G325" s="46"/>
    </row>
    <row r="326">
      <c r="E326" s="45"/>
      <c r="F326" s="45"/>
      <c r="G326" s="46"/>
    </row>
    <row r="327">
      <c r="E327" s="45"/>
      <c r="F327" s="45"/>
      <c r="G327" s="46"/>
    </row>
    <row r="328">
      <c r="E328" s="45"/>
      <c r="F328" s="45"/>
      <c r="G328" s="46"/>
    </row>
    <row r="329">
      <c r="E329" s="45"/>
      <c r="F329" s="45"/>
      <c r="G329" s="46"/>
    </row>
    <row r="330">
      <c r="E330" s="45"/>
      <c r="F330" s="45"/>
      <c r="G330" s="46"/>
    </row>
    <row r="331">
      <c r="E331" s="45"/>
      <c r="F331" s="45"/>
      <c r="G331" s="46"/>
    </row>
    <row r="332">
      <c r="E332" s="45"/>
      <c r="F332" s="45"/>
      <c r="G332" s="46"/>
    </row>
    <row r="333">
      <c r="E333" s="45"/>
      <c r="F333" s="45"/>
      <c r="G333" s="46"/>
    </row>
    <row r="334">
      <c r="E334" s="45"/>
      <c r="F334" s="45"/>
      <c r="G334" s="46"/>
    </row>
    <row r="335">
      <c r="E335" s="45"/>
      <c r="F335" s="45"/>
      <c r="G335" s="46"/>
    </row>
    <row r="336">
      <c r="E336" s="45"/>
      <c r="F336" s="45"/>
      <c r="G336" s="46"/>
    </row>
    <row r="337">
      <c r="E337" s="45"/>
      <c r="F337" s="45"/>
      <c r="G337" s="46"/>
    </row>
    <row r="338">
      <c r="E338" s="45"/>
      <c r="F338" s="45"/>
      <c r="G338" s="46"/>
    </row>
    <row r="339">
      <c r="E339" s="45"/>
      <c r="F339" s="45"/>
      <c r="G339" s="46"/>
    </row>
    <row r="340">
      <c r="E340" s="45"/>
      <c r="F340" s="45"/>
      <c r="G340" s="46"/>
    </row>
    <row r="341">
      <c r="E341" s="45"/>
      <c r="F341" s="45"/>
      <c r="G341" s="46"/>
    </row>
    <row r="342">
      <c r="E342" s="45"/>
      <c r="F342" s="45"/>
      <c r="G342" s="46"/>
    </row>
    <row r="343">
      <c r="E343" s="45"/>
      <c r="F343" s="45"/>
      <c r="G343" s="46"/>
    </row>
    <row r="344">
      <c r="E344" s="45"/>
      <c r="F344" s="45"/>
      <c r="G344" s="46"/>
    </row>
    <row r="345">
      <c r="E345" s="45"/>
      <c r="F345" s="45"/>
      <c r="G345" s="46"/>
    </row>
    <row r="346">
      <c r="E346" s="45"/>
      <c r="F346" s="45"/>
      <c r="G346" s="46"/>
    </row>
    <row r="347">
      <c r="E347" s="45"/>
      <c r="F347" s="45"/>
      <c r="G347" s="46"/>
    </row>
    <row r="348">
      <c r="E348" s="45"/>
      <c r="F348" s="45"/>
      <c r="G348" s="46"/>
    </row>
    <row r="349">
      <c r="E349" s="45"/>
      <c r="F349" s="45"/>
      <c r="G349" s="46"/>
    </row>
    <row r="350">
      <c r="E350" s="45"/>
      <c r="F350" s="45"/>
      <c r="G350" s="46"/>
    </row>
    <row r="351">
      <c r="E351" s="45"/>
      <c r="F351" s="45"/>
      <c r="G351" s="46"/>
    </row>
    <row r="352">
      <c r="E352" s="45"/>
      <c r="F352" s="45"/>
      <c r="G352" s="46"/>
    </row>
    <row r="353">
      <c r="E353" s="45"/>
      <c r="F353" s="45"/>
      <c r="G353" s="46"/>
    </row>
    <row r="354">
      <c r="E354" s="45"/>
      <c r="F354" s="45"/>
      <c r="G354" s="46"/>
    </row>
    <row r="355">
      <c r="E355" s="45"/>
      <c r="F355" s="45"/>
      <c r="G355" s="46"/>
    </row>
    <row r="356">
      <c r="E356" s="45"/>
      <c r="F356" s="45"/>
      <c r="G356" s="46"/>
    </row>
    <row r="357">
      <c r="E357" s="45"/>
      <c r="F357" s="45"/>
      <c r="G357" s="46"/>
    </row>
    <row r="358">
      <c r="E358" s="45"/>
      <c r="F358" s="45"/>
      <c r="G358" s="46"/>
    </row>
    <row r="359">
      <c r="E359" s="45"/>
      <c r="F359" s="45"/>
      <c r="G359" s="46"/>
    </row>
    <row r="360">
      <c r="E360" s="45"/>
      <c r="F360" s="45"/>
      <c r="G360" s="46"/>
    </row>
    <row r="361">
      <c r="E361" s="45"/>
      <c r="F361" s="45"/>
      <c r="G361" s="46"/>
    </row>
    <row r="362">
      <c r="E362" s="45"/>
      <c r="F362" s="45"/>
      <c r="G362" s="46"/>
    </row>
    <row r="363">
      <c r="E363" s="45"/>
      <c r="F363" s="45"/>
      <c r="G363" s="46"/>
    </row>
    <row r="364">
      <c r="E364" s="45"/>
      <c r="F364" s="45"/>
      <c r="G364" s="46"/>
    </row>
    <row r="365">
      <c r="E365" s="45"/>
      <c r="F365" s="45"/>
      <c r="G365" s="46"/>
    </row>
    <row r="366">
      <c r="E366" s="45"/>
      <c r="F366" s="45"/>
      <c r="G366" s="46"/>
    </row>
    <row r="367">
      <c r="E367" s="45"/>
      <c r="F367" s="45"/>
      <c r="G367" s="46"/>
    </row>
    <row r="368">
      <c r="E368" s="45"/>
      <c r="F368" s="45"/>
      <c r="G368" s="46"/>
    </row>
    <row r="369">
      <c r="E369" s="45"/>
      <c r="F369" s="45"/>
      <c r="G369" s="46"/>
    </row>
    <row r="370">
      <c r="E370" s="45"/>
      <c r="F370" s="45"/>
      <c r="G370" s="46"/>
    </row>
    <row r="371">
      <c r="E371" s="45"/>
      <c r="F371" s="45"/>
      <c r="G371" s="46"/>
    </row>
    <row r="372">
      <c r="E372" s="45"/>
      <c r="F372" s="45"/>
      <c r="G372" s="46"/>
    </row>
    <row r="373">
      <c r="E373" s="45"/>
      <c r="F373" s="45"/>
      <c r="G373" s="46"/>
    </row>
    <row r="374">
      <c r="E374" s="45"/>
      <c r="F374" s="45"/>
      <c r="G374" s="46"/>
    </row>
    <row r="375">
      <c r="E375" s="45"/>
      <c r="F375" s="45"/>
      <c r="G375" s="46"/>
    </row>
    <row r="376">
      <c r="E376" s="45"/>
      <c r="F376" s="45"/>
      <c r="G376" s="46"/>
    </row>
    <row r="377">
      <c r="E377" s="45"/>
      <c r="F377" s="45"/>
      <c r="G377" s="46"/>
    </row>
    <row r="378">
      <c r="E378" s="45"/>
      <c r="F378" s="45"/>
      <c r="G378" s="46"/>
    </row>
    <row r="379">
      <c r="E379" s="45"/>
      <c r="F379" s="45"/>
      <c r="G379" s="46"/>
    </row>
    <row r="380">
      <c r="E380" s="45"/>
      <c r="F380" s="45"/>
      <c r="G380" s="46"/>
    </row>
    <row r="381">
      <c r="E381" s="45"/>
      <c r="F381" s="45"/>
      <c r="G381" s="46"/>
    </row>
    <row r="382">
      <c r="E382" s="45"/>
      <c r="F382" s="45"/>
      <c r="G382" s="46"/>
    </row>
    <row r="383">
      <c r="E383" s="45"/>
      <c r="F383" s="45"/>
      <c r="G383" s="46"/>
    </row>
    <row r="384">
      <c r="E384" s="45"/>
      <c r="F384" s="45"/>
      <c r="G384" s="46"/>
    </row>
    <row r="385">
      <c r="E385" s="45"/>
      <c r="F385" s="45"/>
      <c r="G385" s="46"/>
    </row>
    <row r="386">
      <c r="E386" s="45"/>
      <c r="F386" s="45"/>
      <c r="G386" s="46"/>
    </row>
    <row r="387">
      <c r="E387" s="45"/>
      <c r="F387" s="45"/>
      <c r="G387" s="46"/>
    </row>
    <row r="388">
      <c r="E388" s="45"/>
      <c r="F388" s="45"/>
      <c r="G388" s="46"/>
    </row>
    <row r="389">
      <c r="E389" s="45"/>
      <c r="F389" s="45"/>
      <c r="G389" s="46"/>
    </row>
    <row r="390">
      <c r="E390" s="45"/>
      <c r="F390" s="45"/>
      <c r="G390" s="46"/>
    </row>
    <row r="391">
      <c r="E391" s="45"/>
      <c r="F391" s="45"/>
      <c r="G391" s="46"/>
    </row>
    <row r="392">
      <c r="E392" s="45"/>
      <c r="F392" s="45"/>
      <c r="G392" s="46"/>
    </row>
    <row r="393">
      <c r="E393" s="45"/>
      <c r="F393" s="45"/>
      <c r="G393" s="46"/>
    </row>
    <row r="394">
      <c r="E394" s="45"/>
      <c r="F394" s="45"/>
      <c r="G394" s="46"/>
    </row>
    <row r="395">
      <c r="E395" s="45"/>
      <c r="F395" s="45"/>
      <c r="G395" s="46"/>
    </row>
    <row r="396">
      <c r="E396" s="45"/>
      <c r="F396" s="45"/>
      <c r="G396" s="46"/>
    </row>
    <row r="397">
      <c r="E397" s="45"/>
      <c r="F397" s="45"/>
      <c r="G397" s="46"/>
    </row>
    <row r="398">
      <c r="E398" s="45"/>
      <c r="F398" s="45"/>
      <c r="G398" s="46"/>
    </row>
    <row r="399">
      <c r="E399" s="45"/>
      <c r="F399" s="45"/>
      <c r="G399" s="46"/>
    </row>
    <row r="400">
      <c r="E400" s="45"/>
      <c r="F400" s="45"/>
      <c r="G400" s="46"/>
    </row>
    <row r="401">
      <c r="E401" s="45"/>
      <c r="F401" s="45"/>
      <c r="G401" s="46"/>
    </row>
    <row r="402">
      <c r="E402" s="45"/>
      <c r="F402" s="45"/>
      <c r="G402" s="46"/>
    </row>
    <row r="403">
      <c r="E403" s="45"/>
      <c r="F403" s="45"/>
      <c r="G403" s="46"/>
    </row>
    <row r="404">
      <c r="E404" s="45"/>
      <c r="F404" s="45"/>
      <c r="G404" s="46"/>
    </row>
    <row r="405">
      <c r="E405" s="45"/>
      <c r="F405" s="45"/>
      <c r="G405" s="46"/>
    </row>
    <row r="406">
      <c r="E406" s="45"/>
      <c r="F406" s="45"/>
      <c r="G406" s="46"/>
    </row>
    <row r="407">
      <c r="E407" s="45"/>
      <c r="F407" s="45"/>
      <c r="G407" s="46"/>
    </row>
    <row r="408">
      <c r="E408" s="45"/>
      <c r="F408" s="45"/>
      <c r="G408" s="46"/>
    </row>
    <row r="409">
      <c r="E409" s="45"/>
      <c r="F409" s="45"/>
      <c r="G409" s="46"/>
    </row>
    <row r="410">
      <c r="E410" s="45"/>
      <c r="F410" s="45"/>
      <c r="G410" s="46"/>
    </row>
    <row r="411">
      <c r="E411" s="45"/>
      <c r="F411" s="45"/>
      <c r="G411" s="46"/>
    </row>
    <row r="412">
      <c r="E412" s="45"/>
      <c r="F412" s="45"/>
      <c r="G412" s="46"/>
    </row>
    <row r="413">
      <c r="E413" s="45"/>
      <c r="F413" s="45"/>
      <c r="G413" s="46"/>
    </row>
    <row r="414">
      <c r="E414" s="45"/>
      <c r="F414" s="45"/>
      <c r="G414" s="46"/>
    </row>
    <row r="415">
      <c r="E415" s="45"/>
      <c r="F415" s="45"/>
      <c r="G415" s="46"/>
    </row>
    <row r="416">
      <c r="E416" s="45"/>
      <c r="F416" s="45"/>
      <c r="G416" s="46"/>
    </row>
    <row r="417">
      <c r="E417" s="45"/>
      <c r="F417" s="45"/>
      <c r="G417" s="46"/>
    </row>
    <row r="418">
      <c r="E418" s="45"/>
      <c r="F418" s="45"/>
      <c r="G418" s="46"/>
    </row>
    <row r="419">
      <c r="E419" s="45"/>
      <c r="F419" s="45"/>
      <c r="G419" s="46"/>
    </row>
    <row r="420">
      <c r="E420" s="45"/>
      <c r="F420" s="45"/>
      <c r="G420" s="46"/>
    </row>
    <row r="421">
      <c r="E421" s="45"/>
      <c r="F421" s="45"/>
      <c r="G421" s="46"/>
    </row>
    <row r="422">
      <c r="E422" s="45"/>
      <c r="F422" s="45"/>
      <c r="G422" s="46"/>
    </row>
    <row r="423">
      <c r="E423" s="45"/>
      <c r="F423" s="45"/>
      <c r="G423" s="46"/>
    </row>
    <row r="424">
      <c r="E424" s="45"/>
      <c r="F424" s="45"/>
      <c r="G424" s="46"/>
    </row>
    <row r="425">
      <c r="E425" s="45"/>
      <c r="F425" s="45"/>
      <c r="G425" s="46"/>
    </row>
    <row r="426">
      <c r="E426" s="45"/>
      <c r="F426" s="45"/>
      <c r="G426" s="46"/>
    </row>
    <row r="427">
      <c r="E427" s="45"/>
      <c r="F427" s="45"/>
      <c r="G427" s="46"/>
    </row>
    <row r="428">
      <c r="E428" s="45"/>
      <c r="F428" s="45"/>
      <c r="G428" s="46"/>
    </row>
    <row r="429">
      <c r="E429" s="45"/>
      <c r="F429" s="45"/>
      <c r="G429" s="46"/>
    </row>
    <row r="430">
      <c r="E430" s="45"/>
      <c r="F430" s="45"/>
      <c r="G430" s="46"/>
    </row>
    <row r="431">
      <c r="E431" s="45"/>
      <c r="F431" s="45"/>
      <c r="G431" s="46"/>
    </row>
    <row r="432">
      <c r="E432" s="45"/>
      <c r="F432" s="45"/>
      <c r="G432" s="46"/>
    </row>
    <row r="433">
      <c r="E433" s="45"/>
      <c r="F433" s="45"/>
      <c r="G433" s="46"/>
    </row>
    <row r="434">
      <c r="E434" s="45"/>
      <c r="F434" s="45"/>
      <c r="G434" s="46"/>
    </row>
    <row r="435">
      <c r="E435" s="45"/>
      <c r="F435" s="45"/>
      <c r="G435" s="46"/>
    </row>
    <row r="436">
      <c r="E436" s="45"/>
      <c r="F436" s="45"/>
      <c r="G436" s="46"/>
    </row>
    <row r="437">
      <c r="E437" s="45"/>
      <c r="F437" s="45"/>
      <c r="G437" s="46"/>
    </row>
    <row r="438">
      <c r="E438" s="45"/>
      <c r="F438" s="45"/>
      <c r="G438" s="46"/>
    </row>
    <row r="439">
      <c r="E439" s="45"/>
      <c r="F439" s="45"/>
      <c r="G439" s="46"/>
    </row>
    <row r="440">
      <c r="E440" s="45"/>
      <c r="F440" s="45"/>
      <c r="G440" s="46"/>
    </row>
    <row r="441">
      <c r="E441" s="45"/>
      <c r="F441" s="45"/>
      <c r="G441" s="46"/>
    </row>
    <row r="442">
      <c r="E442" s="45"/>
      <c r="F442" s="45"/>
      <c r="G442" s="46"/>
    </row>
    <row r="443">
      <c r="E443" s="45"/>
      <c r="F443" s="45"/>
      <c r="G443" s="46"/>
    </row>
    <row r="444">
      <c r="E444" s="45"/>
      <c r="F444" s="45"/>
      <c r="G444" s="46"/>
    </row>
    <row r="445">
      <c r="E445" s="45"/>
      <c r="F445" s="45"/>
      <c r="G445" s="46"/>
    </row>
    <row r="446">
      <c r="E446" s="45"/>
      <c r="F446" s="45"/>
      <c r="G446" s="46"/>
    </row>
    <row r="447">
      <c r="E447" s="45"/>
      <c r="F447" s="45"/>
      <c r="G447" s="46"/>
    </row>
    <row r="448">
      <c r="E448" s="45"/>
      <c r="F448" s="45"/>
      <c r="G448" s="46"/>
    </row>
    <row r="449">
      <c r="E449" s="45"/>
      <c r="F449" s="45"/>
      <c r="G449" s="46"/>
    </row>
    <row r="450">
      <c r="E450" s="45"/>
      <c r="F450" s="45"/>
      <c r="G450" s="46"/>
    </row>
    <row r="451">
      <c r="E451" s="45"/>
      <c r="F451" s="45"/>
      <c r="G451" s="46"/>
    </row>
    <row r="452">
      <c r="E452" s="45"/>
      <c r="F452" s="45"/>
      <c r="G452" s="46"/>
    </row>
    <row r="453">
      <c r="E453" s="45"/>
      <c r="F453" s="45"/>
      <c r="G453" s="46"/>
    </row>
    <row r="454">
      <c r="E454" s="45"/>
      <c r="F454" s="45"/>
      <c r="G454" s="46"/>
    </row>
    <row r="455">
      <c r="E455" s="45"/>
      <c r="F455" s="45"/>
      <c r="G455" s="46"/>
    </row>
    <row r="456">
      <c r="E456" s="45"/>
      <c r="F456" s="45"/>
      <c r="G456" s="46"/>
    </row>
    <row r="457">
      <c r="E457" s="45"/>
      <c r="F457" s="45"/>
      <c r="G457" s="46"/>
    </row>
    <row r="458">
      <c r="E458" s="45"/>
      <c r="F458" s="45"/>
      <c r="G458" s="46"/>
    </row>
    <row r="459">
      <c r="E459" s="45"/>
      <c r="F459" s="45"/>
      <c r="G459" s="46"/>
    </row>
    <row r="460">
      <c r="E460" s="45"/>
      <c r="F460" s="45"/>
      <c r="G460" s="46"/>
    </row>
    <row r="461">
      <c r="E461" s="45"/>
      <c r="F461" s="45"/>
      <c r="G461" s="46"/>
    </row>
    <row r="462">
      <c r="E462" s="45"/>
      <c r="F462" s="45"/>
      <c r="G462" s="46"/>
    </row>
    <row r="463">
      <c r="E463" s="45"/>
      <c r="F463" s="45"/>
      <c r="G463" s="46"/>
    </row>
    <row r="464">
      <c r="E464" s="45"/>
      <c r="F464" s="45"/>
      <c r="G464" s="46"/>
    </row>
    <row r="465">
      <c r="E465" s="45"/>
      <c r="F465" s="45"/>
      <c r="G465" s="46"/>
    </row>
    <row r="466">
      <c r="E466" s="45"/>
      <c r="F466" s="45"/>
      <c r="G466" s="46"/>
    </row>
    <row r="467">
      <c r="E467" s="45"/>
      <c r="F467" s="45"/>
      <c r="G467" s="46"/>
    </row>
    <row r="468">
      <c r="E468" s="45"/>
      <c r="F468" s="45"/>
      <c r="G468" s="46"/>
    </row>
    <row r="469">
      <c r="E469" s="45"/>
      <c r="F469" s="45"/>
      <c r="G469" s="46"/>
    </row>
    <row r="470">
      <c r="E470" s="45"/>
      <c r="F470" s="45"/>
      <c r="G470" s="46"/>
    </row>
    <row r="471">
      <c r="E471" s="45"/>
      <c r="F471" s="45"/>
      <c r="G471" s="46"/>
    </row>
    <row r="472">
      <c r="E472" s="45"/>
      <c r="F472" s="45"/>
      <c r="G472" s="46"/>
    </row>
    <row r="473">
      <c r="E473" s="45"/>
      <c r="F473" s="45"/>
      <c r="G473" s="46"/>
    </row>
    <row r="474">
      <c r="E474" s="45"/>
      <c r="F474" s="45"/>
      <c r="G474" s="46"/>
    </row>
    <row r="475">
      <c r="E475" s="45"/>
      <c r="F475" s="45"/>
      <c r="G475" s="46"/>
    </row>
    <row r="476">
      <c r="E476" s="45"/>
      <c r="F476" s="45"/>
      <c r="G476" s="46"/>
    </row>
    <row r="477">
      <c r="E477" s="45"/>
      <c r="F477" s="45"/>
      <c r="G477" s="46"/>
    </row>
    <row r="478">
      <c r="E478" s="45"/>
      <c r="F478" s="45"/>
      <c r="G478" s="46"/>
    </row>
    <row r="479">
      <c r="E479" s="45"/>
      <c r="F479" s="45"/>
      <c r="G479" s="46"/>
    </row>
    <row r="480">
      <c r="E480" s="45"/>
      <c r="F480" s="45"/>
      <c r="G480" s="46"/>
    </row>
    <row r="481">
      <c r="E481" s="45"/>
      <c r="F481" s="45"/>
      <c r="G481" s="46"/>
    </row>
    <row r="482">
      <c r="E482" s="45"/>
      <c r="F482" s="45"/>
      <c r="G482" s="46"/>
    </row>
    <row r="483">
      <c r="E483" s="45"/>
      <c r="F483" s="45"/>
      <c r="G483" s="46"/>
    </row>
    <row r="484">
      <c r="E484" s="45"/>
      <c r="F484" s="45"/>
      <c r="G484" s="46"/>
    </row>
    <row r="485">
      <c r="E485" s="45"/>
      <c r="F485" s="45"/>
      <c r="G485" s="46"/>
    </row>
    <row r="486">
      <c r="E486" s="45"/>
      <c r="F486" s="45"/>
      <c r="G486" s="46"/>
    </row>
    <row r="487">
      <c r="E487" s="45"/>
      <c r="F487" s="45"/>
      <c r="G487" s="46"/>
    </row>
    <row r="488">
      <c r="E488" s="45"/>
      <c r="F488" s="45"/>
      <c r="G488" s="46"/>
    </row>
    <row r="489">
      <c r="E489" s="45"/>
      <c r="F489" s="45"/>
      <c r="G489" s="46"/>
    </row>
    <row r="490">
      <c r="E490" s="45"/>
      <c r="F490" s="45"/>
      <c r="G490" s="46"/>
    </row>
    <row r="491">
      <c r="E491" s="45"/>
      <c r="F491" s="45"/>
      <c r="G491" s="46"/>
    </row>
    <row r="492">
      <c r="E492" s="45"/>
      <c r="F492" s="45"/>
      <c r="G492" s="46"/>
    </row>
    <row r="493">
      <c r="E493" s="45"/>
      <c r="F493" s="45"/>
      <c r="G493" s="46"/>
    </row>
    <row r="494">
      <c r="E494" s="45"/>
      <c r="F494" s="45"/>
      <c r="G494" s="46"/>
    </row>
    <row r="495">
      <c r="E495" s="45"/>
      <c r="F495" s="45"/>
      <c r="G495" s="46"/>
    </row>
    <row r="496">
      <c r="E496" s="45"/>
      <c r="F496" s="45"/>
      <c r="G496" s="46"/>
    </row>
    <row r="497">
      <c r="E497" s="45"/>
      <c r="F497" s="45"/>
      <c r="G497" s="46"/>
    </row>
    <row r="498">
      <c r="E498" s="45"/>
      <c r="F498" s="45"/>
      <c r="G498" s="46"/>
    </row>
    <row r="499">
      <c r="E499" s="45"/>
      <c r="F499" s="45"/>
      <c r="G499" s="46"/>
    </row>
    <row r="500">
      <c r="E500" s="45"/>
      <c r="F500" s="45"/>
      <c r="G500" s="46"/>
    </row>
    <row r="501">
      <c r="E501" s="45"/>
      <c r="F501" s="45"/>
      <c r="G501" s="46"/>
    </row>
    <row r="502">
      <c r="E502" s="45"/>
      <c r="F502" s="45"/>
      <c r="G502" s="46"/>
    </row>
    <row r="503">
      <c r="E503" s="45"/>
      <c r="F503" s="45"/>
      <c r="G503" s="46"/>
    </row>
    <row r="504">
      <c r="E504" s="45"/>
      <c r="F504" s="45"/>
      <c r="G504" s="46"/>
    </row>
    <row r="505">
      <c r="E505" s="45"/>
      <c r="F505" s="45"/>
      <c r="G505" s="46"/>
    </row>
    <row r="506">
      <c r="E506" s="45"/>
      <c r="F506" s="45"/>
      <c r="G506" s="46"/>
    </row>
    <row r="507">
      <c r="E507" s="45"/>
      <c r="F507" s="45"/>
      <c r="G507" s="46"/>
    </row>
    <row r="508">
      <c r="E508" s="45"/>
      <c r="F508" s="45"/>
      <c r="G508" s="46"/>
    </row>
    <row r="509">
      <c r="E509" s="45"/>
      <c r="F509" s="45"/>
      <c r="G509" s="46"/>
    </row>
    <row r="510">
      <c r="E510" s="45"/>
      <c r="F510" s="45"/>
      <c r="G510" s="46"/>
    </row>
    <row r="511">
      <c r="E511" s="45"/>
      <c r="F511" s="45"/>
      <c r="G511" s="46"/>
    </row>
    <row r="512">
      <c r="E512" s="45"/>
      <c r="F512" s="45"/>
      <c r="G512" s="46"/>
    </row>
    <row r="513">
      <c r="E513" s="45"/>
      <c r="F513" s="45"/>
      <c r="G513" s="46"/>
    </row>
    <row r="514">
      <c r="E514" s="45"/>
      <c r="F514" s="45"/>
      <c r="G514" s="46"/>
    </row>
    <row r="515">
      <c r="E515" s="45"/>
      <c r="F515" s="45"/>
      <c r="G515" s="46"/>
    </row>
    <row r="516">
      <c r="E516" s="45"/>
      <c r="F516" s="45"/>
      <c r="G516" s="46"/>
    </row>
    <row r="517">
      <c r="E517" s="45"/>
      <c r="F517" s="45"/>
      <c r="G517" s="46"/>
    </row>
    <row r="518">
      <c r="E518" s="45"/>
      <c r="F518" s="45"/>
      <c r="G518" s="46"/>
    </row>
    <row r="519">
      <c r="E519" s="45"/>
      <c r="F519" s="45"/>
      <c r="G519" s="46"/>
    </row>
    <row r="520">
      <c r="E520" s="45"/>
      <c r="F520" s="45"/>
      <c r="G520" s="46"/>
    </row>
    <row r="521">
      <c r="E521" s="45"/>
      <c r="F521" s="45"/>
      <c r="G521" s="46"/>
    </row>
    <row r="522">
      <c r="E522" s="45"/>
      <c r="F522" s="45"/>
      <c r="G522" s="46"/>
    </row>
    <row r="523">
      <c r="E523" s="45"/>
      <c r="F523" s="45"/>
      <c r="G523" s="46"/>
    </row>
    <row r="524">
      <c r="E524" s="45"/>
      <c r="F524" s="45"/>
      <c r="G524" s="46"/>
    </row>
    <row r="525">
      <c r="E525" s="45"/>
      <c r="F525" s="45"/>
      <c r="G525" s="46"/>
    </row>
    <row r="526">
      <c r="E526" s="45"/>
      <c r="F526" s="45"/>
      <c r="G526" s="46"/>
    </row>
    <row r="527">
      <c r="E527" s="45"/>
      <c r="F527" s="45"/>
      <c r="G527" s="46"/>
    </row>
    <row r="528">
      <c r="E528" s="45"/>
      <c r="F528" s="45"/>
      <c r="G528" s="46"/>
    </row>
    <row r="529">
      <c r="E529" s="45"/>
      <c r="F529" s="45"/>
      <c r="G529" s="46"/>
    </row>
    <row r="530">
      <c r="E530" s="45"/>
      <c r="F530" s="45"/>
      <c r="G530" s="46"/>
    </row>
    <row r="531">
      <c r="E531" s="45"/>
      <c r="F531" s="45"/>
      <c r="G531" s="46"/>
    </row>
    <row r="532">
      <c r="E532" s="45"/>
      <c r="F532" s="45"/>
      <c r="G532" s="46"/>
    </row>
    <row r="533">
      <c r="E533" s="45"/>
      <c r="F533" s="45"/>
      <c r="G533" s="46"/>
    </row>
    <row r="534">
      <c r="E534" s="45"/>
      <c r="F534" s="45"/>
      <c r="G534" s="46"/>
    </row>
    <row r="535">
      <c r="E535" s="45"/>
      <c r="F535" s="45"/>
      <c r="G535" s="46"/>
    </row>
    <row r="536">
      <c r="E536" s="45"/>
      <c r="F536" s="45"/>
      <c r="G536" s="46"/>
    </row>
    <row r="537">
      <c r="E537" s="45"/>
      <c r="F537" s="45"/>
      <c r="G537" s="46"/>
    </row>
    <row r="538">
      <c r="E538" s="45"/>
      <c r="F538" s="45"/>
      <c r="G538" s="46"/>
    </row>
    <row r="539">
      <c r="E539" s="45"/>
      <c r="F539" s="45"/>
      <c r="G539" s="46"/>
    </row>
    <row r="540">
      <c r="E540" s="45"/>
      <c r="F540" s="45"/>
      <c r="G540" s="46"/>
    </row>
    <row r="541">
      <c r="E541" s="45"/>
      <c r="F541" s="45"/>
      <c r="G541" s="46"/>
    </row>
    <row r="542">
      <c r="E542" s="45"/>
      <c r="F542" s="45"/>
      <c r="G542" s="46"/>
    </row>
    <row r="543">
      <c r="E543" s="45"/>
      <c r="F543" s="45"/>
      <c r="G543" s="46"/>
    </row>
    <row r="544">
      <c r="E544" s="45"/>
      <c r="F544" s="45"/>
      <c r="G544" s="46"/>
    </row>
    <row r="545">
      <c r="E545" s="45"/>
      <c r="F545" s="45"/>
      <c r="G545" s="46"/>
    </row>
    <row r="546">
      <c r="E546" s="45"/>
      <c r="F546" s="45"/>
      <c r="G546" s="46"/>
    </row>
    <row r="547">
      <c r="E547" s="45"/>
      <c r="F547" s="45"/>
      <c r="G547" s="46"/>
    </row>
    <row r="548">
      <c r="E548" s="45"/>
      <c r="F548" s="45"/>
      <c r="G548" s="46"/>
    </row>
    <row r="549">
      <c r="E549" s="45"/>
      <c r="F549" s="45"/>
      <c r="G549" s="46"/>
    </row>
    <row r="550">
      <c r="E550" s="45"/>
      <c r="F550" s="45"/>
      <c r="G550" s="46"/>
    </row>
    <row r="551">
      <c r="E551" s="45"/>
      <c r="F551" s="45"/>
      <c r="G551" s="46"/>
    </row>
    <row r="552">
      <c r="E552" s="45"/>
      <c r="F552" s="45"/>
      <c r="G552" s="46"/>
    </row>
    <row r="553">
      <c r="E553" s="45"/>
      <c r="F553" s="45"/>
      <c r="G553" s="46"/>
    </row>
    <row r="554">
      <c r="E554" s="45"/>
      <c r="F554" s="45"/>
      <c r="G554" s="46"/>
    </row>
    <row r="555">
      <c r="E555" s="45"/>
      <c r="F555" s="45"/>
      <c r="G555" s="46"/>
    </row>
    <row r="556">
      <c r="E556" s="45"/>
      <c r="F556" s="45"/>
      <c r="G556" s="46"/>
    </row>
    <row r="557">
      <c r="E557" s="45"/>
      <c r="F557" s="45"/>
      <c r="G557" s="46"/>
    </row>
    <row r="558">
      <c r="E558" s="45"/>
      <c r="F558" s="45"/>
      <c r="G558" s="46"/>
    </row>
    <row r="559">
      <c r="E559" s="45"/>
      <c r="F559" s="45"/>
      <c r="G559" s="46"/>
    </row>
    <row r="560">
      <c r="E560" s="45"/>
      <c r="F560" s="45"/>
      <c r="G560" s="46"/>
    </row>
    <row r="561">
      <c r="E561" s="45"/>
      <c r="F561" s="45"/>
      <c r="G561" s="46"/>
    </row>
    <row r="562">
      <c r="E562" s="45"/>
      <c r="F562" s="45"/>
      <c r="G562" s="46"/>
    </row>
    <row r="563">
      <c r="E563" s="45"/>
      <c r="F563" s="45"/>
      <c r="G563" s="46"/>
    </row>
    <row r="564">
      <c r="E564" s="45"/>
      <c r="F564" s="45"/>
      <c r="G564" s="46"/>
    </row>
    <row r="565">
      <c r="E565" s="45"/>
      <c r="F565" s="45"/>
      <c r="G565" s="46"/>
    </row>
    <row r="566">
      <c r="E566" s="45"/>
      <c r="F566" s="45"/>
      <c r="G566" s="46"/>
    </row>
    <row r="567">
      <c r="E567" s="45"/>
      <c r="F567" s="45"/>
      <c r="G567" s="46"/>
    </row>
    <row r="568">
      <c r="E568" s="45"/>
      <c r="F568" s="45"/>
      <c r="G568" s="46"/>
    </row>
    <row r="569">
      <c r="E569" s="45"/>
      <c r="F569" s="45"/>
      <c r="G569" s="46"/>
    </row>
    <row r="570">
      <c r="E570" s="45"/>
      <c r="F570" s="45"/>
      <c r="G570" s="46"/>
    </row>
    <row r="571">
      <c r="E571" s="45"/>
      <c r="F571" s="45"/>
      <c r="G571" s="46"/>
    </row>
    <row r="572">
      <c r="E572" s="45"/>
      <c r="F572" s="45"/>
      <c r="G572" s="46"/>
    </row>
    <row r="573">
      <c r="E573" s="45"/>
      <c r="F573" s="45"/>
      <c r="G573" s="46"/>
    </row>
    <row r="574">
      <c r="E574" s="45"/>
      <c r="F574" s="45"/>
      <c r="G574" s="46"/>
    </row>
    <row r="575">
      <c r="E575" s="45"/>
      <c r="F575" s="45"/>
      <c r="G575" s="46"/>
    </row>
    <row r="576">
      <c r="E576" s="45"/>
      <c r="F576" s="45"/>
      <c r="G576" s="46"/>
    </row>
    <row r="577">
      <c r="E577" s="45"/>
      <c r="F577" s="45"/>
      <c r="G577" s="46"/>
    </row>
    <row r="578">
      <c r="E578" s="45"/>
      <c r="F578" s="45"/>
      <c r="G578" s="46"/>
    </row>
    <row r="579">
      <c r="E579" s="45"/>
      <c r="F579" s="45"/>
      <c r="G579" s="46"/>
    </row>
    <row r="580">
      <c r="E580" s="45"/>
      <c r="F580" s="45"/>
      <c r="G580" s="46"/>
    </row>
    <row r="581">
      <c r="E581" s="45"/>
      <c r="F581" s="45"/>
      <c r="G581" s="46"/>
    </row>
    <row r="582">
      <c r="E582" s="45"/>
      <c r="F582" s="45"/>
      <c r="G582" s="46"/>
    </row>
    <row r="583">
      <c r="E583" s="45"/>
      <c r="F583" s="45"/>
      <c r="G583" s="46"/>
    </row>
    <row r="584">
      <c r="E584" s="45"/>
      <c r="F584" s="45"/>
      <c r="G584" s="46"/>
    </row>
    <row r="585">
      <c r="E585" s="45"/>
      <c r="F585" s="45"/>
      <c r="G585" s="46"/>
    </row>
    <row r="586">
      <c r="E586" s="45"/>
      <c r="F586" s="45"/>
      <c r="G586" s="46"/>
    </row>
    <row r="587">
      <c r="E587" s="45"/>
      <c r="F587" s="45"/>
      <c r="G587" s="46"/>
    </row>
    <row r="588">
      <c r="E588" s="45"/>
      <c r="F588" s="45"/>
      <c r="G588" s="46"/>
    </row>
    <row r="589">
      <c r="E589" s="45"/>
      <c r="F589" s="45"/>
      <c r="G589" s="46"/>
    </row>
    <row r="590">
      <c r="E590" s="45"/>
      <c r="F590" s="45"/>
      <c r="G590" s="46"/>
    </row>
    <row r="591">
      <c r="E591" s="45"/>
      <c r="F591" s="45"/>
      <c r="G591" s="46"/>
    </row>
    <row r="592">
      <c r="E592" s="45"/>
      <c r="F592" s="45"/>
      <c r="G592" s="46"/>
    </row>
    <row r="593">
      <c r="E593" s="45"/>
      <c r="F593" s="45"/>
      <c r="G593" s="46"/>
    </row>
    <row r="594">
      <c r="E594" s="45"/>
      <c r="F594" s="45"/>
      <c r="G594" s="46"/>
    </row>
    <row r="595">
      <c r="E595" s="45"/>
      <c r="F595" s="45"/>
      <c r="G595" s="46"/>
    </row>
    <row r="596">
      <c r="E596" s="45"/>
      <c r="F596" s="45"/>
      <c r="G596" s="46"/>
    </row>
    <row r="597">
      <c r="E597" s="45"/>
      <c r="F597" s="45"/>
      <c r="G597" s="46"/>
    </row>
    <row r="598">
      <c r="E598" s="45"/>
      <c r="F598" s="45"/>
      <c r="G598" s="46"/>
    </row>
    <row r="599">
      <c r="E599" s="45"/>
      <c r="F599" s="45"/>
      <c r="G599" s="46"/>
    </row>
    <row r="600">
      <c r="E600" s="45"/>
      <c r="F600" s="45"/>
      <c r="G600" s="46"/>
    </row>
    <row r="601">
      <c r="E601" s="45"/>
      <c r="F601" s="45"/>
      <c r="G601" s="46"/>
    </row>
    <row r="602">
      <c r="E602" s="45"/>
      <c r="F602" s="45"/>
      <c r="G602" s="46"/>
    </row>
    <row r="603">
      <c r="E603" s="45"/>
      <c r="F603" s="45"/>
      <c r="G603" s="46"/>
    </row>
    <row r="604">
      <c r="E604" s="45"/>
      <c r="F604" s="45"/>
      <c r="G604" s="46"/>
    </row>
    <row r="605">
      <c r="E605" s="45"/>
      <c r="F605" s="45"/>
      <c r="G605" s="46"/>
    </row>
    <row r="606">
      <c r="E606" s="45"/>
      <c r="F606" s="45"/>
      <c r="G606" s="46"/>
    </row>
    <row r="607">
      <c r="E607" s="45"/>
      <c r="F607" s="45"/>
      <c r="G607" s="46"/>
    </row>
    <row r="608">
      <c r="E608" s="45"/>
      <c r="F608" s="45"/>
      <c r="G608" s="46"/>
    </row>
    <row r="609">
      <c r="E609" s="45"/>
      <c r="F609" s="45"/>
      <c r="G609" s="46"/>
    </row>
    <row r="610">
      <c r="E610" s="45"/>
      <c r="F610" s="45"/>
      <c r="G610" s="46"/>
    </row>
    <row r="611">
      <c r="E611" s="45"/>
      <c r="F611" s="45"/>
      <c r="G611" s="46"/>
    </row>
    <row r="612">
      <c r="E612" s="45"/>
      <c r="F612" s="45"/>
      <c r="G612" s="46"/>
    </row>
    <row r="613">
      <c r="E613" s="45"/>
      <c r="F613" s="45"/>
      <c r="G613" s="46"/>
    </row>
    <row r="614">
      <c r="E614" s="45"/>
      <c r="F614" s="45"/>
      <c r="G614" s="46"/>
    </row>
    <row r="615">
      <c r="E615" s="45"/>
      <c r="F615" s="45"/>
      <c r="G615" s="46"/>
    </row>
    <row r="616">
      <c r="E616" s="45"/>
      <c r="F616" s="45"/>
      <c r="G616" s="46"/>
    </row>
    <row r="617">
      <c r="E617" s="45"/>
      <c r="F617" s="45"/>
      <c r="G617" s="46"/>
    </row>
    <row r="618">
      <c r="E618" s="45"/>
      <c r="F618" s="45"/>
      <c r="G618" s="46"/>
    </row>
    <row r="619">
      <c r="E619" s="45"/>
      <c r="F619" s="45"/>
      <c r="G619" s="46"/>
    </row>
    <row r="620">
      <c r="E620" s="45"/>
      <c r="F620" s="45"/>
      <c r="G620" s="46"/>
    </row>
    <row r="621">
      <c r="E621" s="45"/>
      <c r="F621" s="45"/>
      <c r="G621" s="46"/>
    </row>
    <row r="622">
      <c r="E622" s="45"/>
      <c r="F622" s="45"/>
      <c r="G622" s="46"/>
    </row>
    <row r="623">
      <c r="E623" s="45"/>
      <c r="F623" s="45"/>
      <c r="G623" s="46"/>
    </row>
    <row r="624">
      <c r="E624" s="45"/>
      <c r="F624" s="45"/>
      <c r="G624" s="46"/>
    </row>
    <row r="625">
      <c r="E625" s="45"/>
      <c r="F625" s="45"/>
      <c r="G625" s="46"/>
    </row>
    <row r="626">
      <c r="E626" s="45"/>
      <c r="F626" s="45"/>
      <c r="G626" s="46"/>
    </row>
    <row r="627">
      <c r="E627" s="45"/>
      <c r="F627" s="45"/>
      <c r="G627" s="46"/>
    </row>
    <row r="628">
      <c r="E628" s="45"/>
      <c r="F628" s="45"/>
      <c r="G628" s="46"/>
    </row>
    <row r="629">
      <c r="E629" s="45"/>
      <c r="F629" s="45"/>
      <c r="G629" s="46"/>
    </row>
    <row r="630">
      <c r="E630" s="45"/>
      <c r="F630" s="45"/>
      <c r="G630" s="46"/>
    </row>
    <row r="631">
      <c r="E631" s="45"/>
      <c r="F631" s="45"/>
      <c r="G631" s="46"/>
    </row>
    <row r="632">
      <c r="E632" s="45"/>
      <c r="F632" s="45"/>
      <c r="G632" s="46"/>
    </row>
    <row r="633">
      <c r="E633" s="45"/>
      <c r="F633" s="45"/>
      <c r="G633" s="46"/>
    </row>
    <row r="634">
      <c r="E634" s="45"/>
      <c r="F634" s="45"/>
      <c r="G634" s="46"/>
    </row>
    <row r="635">
      <c r="E635" s="45"/>
      <c r="F635" s="45"/>
      <c r="G635" s="46"/>
    </row>
    <row r="636">
      <c r="E636" s="45"/>
      <c r="F636" s="45"/>
      <c r="G636" s="46"/>
    </row>
    <row r="637">
      <c r="E637" s="45"/>
      <c r="F637" s="45"/>
      <c r="G637" s="46"/>
    </row>
    <row r="638">
      <c r="E638" s="45"/>
      <c r="F638" s="45"/>
      <c r="G638" s="46"/>
    </row>
    <row r="639">
      <c r="E639" s="45"/>
      <c r="F639" s="45"/>
      <c r="G639" s="46"/>
    </row>
    <row r="640">
      <c r="E640" s="45"/>
      <c r="F640" s="45"/>
      <c r="G640" s="46"/>
    </row>
    <row r="641">
      <c r="E641" s="45"/>
      <c r="F641" s="45"/>
      <c r="G641" s="46"/>
    </row>
    <row r="642">
      <c r="E642" s="45"/>
      <c r="F642" s="45"/>
      <c r="G642" s="46"/>
    </row>
    <row r="643">
      <c r="E643" s="45"/>
      <c r="F643" s="45"/>
      <c r="G643" s="46"/>
    </row>
    <row r="644">
      <c r="E644" s="45"/>
      <c r="F644" s="45"/>
      <c r="G644" s="46"/>
    </row>
    <row r="645">
      <c r="E645" s="45"/>
      <c r="F645" s="45"/>
      <c r="G645" s="46"/>
    </row>
    <row r="646">
      <c r="E646" s="45"/>
      <c r="F646" s="45"/>
      <c r="G646" s="46"/>
    </row>
    <row r="647">
      <c r="E647" s="45"/>
      <c r="F647" s="45"/>
      <c r="G647" s="46"/>
    </row>
    <row r="648">
      <c r="E648" s="45"/>
      <c r="F648" s="45"/>
      <c r="G648" s="46"/>
    </row>
    <row r="649">
      <c r="E649" s="45"/>
      <c r="F649" s="45"/>
      <c r="G649" s="46"/>
    </row>
    <row r="650">
      <c r="E650" s="45"/>
      <c r="F650" s="45"/>
      <c r="G650" s="46"/>
    </row>
    <row r="651">
      <c r="E651" s="45"/>
      <c r="F651" s="45"/>
      <c r="G651" s="46"/>
    </row>
    <row r="652">
      <c r="E652" s="45"/>
      <c r="F652" s="45"/>
      <c r="G652" s="46"/>
    </row>
    <row r="653">
      <c r="E653" s="45"/>
      <c r="F653" s="45"/>
      <c r="G653" s="46"/>
    </row>
    <row r="654">
      <c r="E654" s="45"/>
      <c r="F654" s="45"/>
      <c r="G654" s="46"/>
    </row>
    <row r="655">
      <c r="E655" s="45"/>
      <c r="F655" s="45"/>
      <c r="G655" s="46"/>
    </row>
    <row r="656">
      <c r="E656" s="45"/>
      <c r="F656" s="45"/>
      <c r="G656" s="46"/>
    </row>
    <row r="657">
      <c r="E657" s="45"/>
      <c r="F657" s="45"/>
      <c r="G657" s="46"/>
    </row>
    <row r="658">
      <c r="E658" s="45"/>
      <c r="F658" s="45"/>
      <c r="G658" s="46"/>
    </row>
    <row r="659">
      <c r="E659" s="45"/>
      <c r="F659" s="45"/>
      <c r="G659" s="46"/>
    </row>
    <row r="660">
      <c r="E660" s="45"/>
      <c r="F660" s="45"/>
      <c r="G660" s="46"/>
    </row>
    <row r="661">
      <c r="E661" s="45"/>
      <c r="F661" s="45"/>
      <c r="G661" s="46"/>
    </row>
    <row r="662">
      <c r="E662" s="45"/>
      <c r="F662" s="45"/>
      <c r="G662" s="46"/>
    </row>
    <row r="663">
      <c r="E663" s="45"/>
      <c r="F663" s="45"/>
      <c r="G663" s="46"/>
    </row>
    <row r="664">
      <c r="E664" s="45"/>
      <c r="F664" s="45"/>
      <c r="G664" s="46"/>
    </row>
    <row r="665">
      <c r="E665" s="45"/>
      <c r="F665" s="45"/>
      <c r="G665" s="46"/>
    </row>
    <row r="666">
      <c r="E666" s="45"/>
      <c r="F666" s="45"/>
      <c r="G666" s="46"/>
    </row>
    <row r="667">
      <c r="E667" s="45"/>
      <c r="F667" s="45"/>
      <c r="G667" s="46"/>
    </row>
    <row r="668">
      <c r="E668" s="45"/>
      <c r="F668" s="45"/>
      <c r="G668" s="46"/>
    </row>
    <row r="669">
      <c r="E669" s="45"/>
      <c r="F669" s="45"/>
      <c r="G669" s="46"/>
    </row>
    <row r="670">
      <c r="E670" s="45"/>
      <c r="F670" s="45"/>
      <c r="G670" s="46"/>
    </row>
    <row r="671">
      <c r="E671" s="45"/>
      <c r="F671" s="45"/>
      <c r="G671" s="46"/>
    </row>
    <row r="672">
      <c r="E672" s="45"/>
      <c r="F672" s="45"/>
      <c r="G672" s="46"/>
    </row>
    <row r="673">
      <c r="E673" s="45"/>
      <c r="F673" s="45"/>
      <c r="G673" s="46"/>
    </row>
    <row r="674">
      <c r="E674" s="45"/>
      <c r="F674" s="45"/>
      <c r="G674" s="46"/>
    </row>
    <row r="675">
      <c r="E675" s="45"/>
      <c r="F675" s="45"/>
      <c r="G675" s="46"/>
    </row>
    <row r="676">
      <c r="E676" s="45"/>
      <c r="F676" s="45"/>
      <c r="G676" s="46"/>
    </row>
    <row r="677">
      <c r="E677" s="45"/>
      <c r="F677" s="45"/>
      <c r="G677" s="46"/>
    </row>
    <row r="678">
      <c r="E678" s="45"/>
      <c r="F678" s="45"/>
      <c r="G678" s="46"/>
    </row>
    <row r="679">
      <c r="E679" s="45"/>
      <c r="F679" s="45"/>
      <c r="G679" s="46"/>
    </row>
    <row r="680">
      <c r="E680" s="45"/>
      <c r="F680" s="45"/>
      <c r="G680" s="46"/>
    </row>
    <row r="681">
      <c r="E681" s="45"/>
      <c r="F681" s="45"/>
      <c r="G681" s="46"/>
    </row>
    <row r="682">
      <c r="E682" s="45"/>
      <c r="F682" s="45"/>
      <c r="G682" s="46"/>
    </row>
    <row r="683">
      <c r="E683" s="45"/>
      <c r="F683" s="45"/>
      <c r="G683" s="46"/>
    </row>
    <row r="684">
      <c r="E684" s="45"/>
      <c r="F684" s="45"/>
      <c r="G684" s="46"/>
    </row>
    <row r="685">
      <c r="E685" s="45"/>
      <c r="F685" s="45"/>
      <c r="G685" s="46"/>
    </row>
    <row r="686">
      <c r="E686" s="45"/>
      <c r="F686" s="45"/>
      <c r="G686" s="46"/>
    </row>
    <row r="687">
      <c r="E687" s="45"/>
      <c r="F687" s="45"/>
      <c r="G687" s="46"/>
    </row>
    <row r="688">
      <c r="E688" s="45"/>
      <c r="F688" s="45"/>
      <c r="G688" s="46"/>
    </row>
    <row r="689">
      <c r="E689" s="45"/>
      <c r="F689" s="45"/>
      <c r="G689" s="46"/>
    </row>
    <row r="690">
      <c r="E690" s="45"/>
      <c r="F690" s="45"/>
      <c r="G690" s="46"/>
    </row>
    <row r="691">
      <c r="E691" s="45"/>
      <c r="F691" s="45"/>
      <c r="G691" s="46"/>
    </row>
    <row r="692">
      <c r="E692" s="45"/>
      <c r="F692" s="45"/>
      <c r="G692" s="46"/>
    </row>
    <row r="693">
      <c r="E693" s="45"/>
      <c r="F693" s="45"/>
      <c r="G693" s="46"/>
    </row>
    <row r="694">
      <c r="E694" s="45"/>
      <c r="F694" s="45"/>
      <c r="G694" s="46"/>
    </row>
    <row r="695">
      <c r="E695" s="45"/>
      <c r="F695" s="45"/>
      <c r="G695" s="46"/>
    </row>
    <row r="696">
      <c r="E696" s="45"/>
      <c r="F696" s="45"/>
      <c r="G696" s="46"/>
    </row>
    <row r="697">
      <c r="E697" s="45"/>
      <c r="F697" s="45"/>
      <c r="G697" s="46"/>
    </row>
    <row r="698">
      <c r="E698" s="45"/>
      <c r="F698" s="45"/>
      <c r="G698" s="46"/>
    </row>
    <row r="699">
      <c r="E699" s="45"/>
      <c r="F699" s="45"/>
      <c r="G699" s="46"/>
    </row>
    <row r="700">
      <c r="E700" s="45"/>
      <c r="F700" s="45"/>
      <c r="G700" s="46"/>
    </row>
    <row r="701">
      <c r="E701" s="45"/>
      <c r="F701" s="45"/>
      <c r="G701" s="46"/>
    </row>
    <row r="702">
      <c r="E702" s="45"/>
      <c r="F702" s="45"/>
      <c r="G702" s="46"/>
    </row>
    <row r="703">
      <c r="E703" s="45"/>
      <c r="F703" s="45"/>
      <c r="G703" s="46"/>
    </row>
    <row r="704">
      <c r="E704" s="45"/>
      <c r="F704" s="45"/>
      <c r="G704" s="46"/>
    </row>
    <row r="705">
      <c r="E705" s="45"/>
      <c r="F705" s="45"/>
      <c r="G705" s="46"/>
    </row>
    <row r="706">
      <c r="E706" s="45"/>
      <c r="F706" s="45"/>
      <c r="G706" s="46"/>
    </row>
    <row r="707">
      <c r="E707" s="45"/>
      <c r="F707" s="45"/>
      <c r="G707" s="46"/>
    </row>
    <row r="708">
      <c r="E708" s="45"/>
      <c r="F708" s="45"/>
      <c r="G708" s="46"/>
    </row>
    <row r="709">
      <c r="E709" s="45"/>
      <c r="F709" s="45"/>
      <c r="G709" s="46"/>
    </row>
    <row r="710">
      <c r="E710" s="45"/>
      <c r="F710" s="45"/>
      <c r="G710" s="46"/>
    </row>
    <row r="711">
      <c r="E711" s="45"/>
      <c r="F711" s="45"/>
      <c r="G711" s="46"/>
    </row>
    <row r="712">
      <c r="E712" s="45"/>
      <c r="F712" s="45"/>
      <c r="G712" s="46"/>
    </row>
    <row r="713">
      <c r="E713" s="45"/>
      <c r="F713" s="45"/>
      <c r="G713" s="46"/>
    </row>
    <row r="714">
      <c r="E714" s="45"/>
      <c r="F714" s="45"/>
      <c r="G714" s="46"/>
    </row>
    <row r="715">
      <c r="E715" s="45"/>
      <c r="F715" s="45"/>
      <c r="G715" s="46"/>
    </row>
    <row r="716">
      <c r="E716" s="45"/>
      <c r="F716" s="45"/>
      <c r="G716" s="46"/>
    </row>
    <row r="717">
      <c r="E717" s="45"/>
      <c r="F717" s="45"/>
      <c r="G717" s="46"/>
    </row>
    <row r="718">
      <c r="E718" s="45"/>
      <c r="F718" s="45"/>
      <c r="G718" s="46"/>
    </row>
    <row r="719">
      <c r="E719" s="45"/>
      <c r="F719" s="45"/>
      <c r="G719" s="46"/>
    </row>
    <row r="720">
      <c r="E720" s="45"/>
      <c r="F720" s="45"/>
      <c r="G720" s="46"/>
    </row>
    <row r="721">
      <c r="E721" s="45"/>
      <c r="F721" s="45"/>
      <c r="G721" s="46"/>
    </row>
    <row r="722">
      <c r="E722" s="45"/>
      <c r="F722" s="45"/>
      <c r="G722" s="46"/>
    </row>
    <row r="723">
      <c r="E723" s="45"/>
      <c r="F723" s="45"/>
      <c r="G723" s="46"/>
    </row>
    <row r="724">
      <c r="E724" s="45"/>
      <c r="F724" s="45"/>
      <c r="G724" s="46"/>
    </row>
    <row r="725">
      <c r="E725" s="45"/>
      <c r="F725" s="45"/>
      <c r="G725" s="46"/>
    </row>
    <row r="726">
      <c r="E726" s="45"/>
      <c r="F726" s="45"/>
      <c r="G726" s="46"/>
    </row>
    <row r="727">
      <c r="E727" s="45"/>
      <c r="F727" s="45"/>
      <c r="G727" s="46"/>
    </row>
    <row r="728">
      <c r="E728" s="45"/>
      <c r="F728" s="45"/>
      <c r="G728" s="46"/>
    </row>
    <row r="729">
      <c r="E729" s="45"/>
      <c r="F729" s="45"/>
      <c r="G729" s="46"/>
    </row>
    <row r="730">
      <c r="E730" s="45"/>
      <c r="F730" s="45"/>
      <c r="G730" s="46"/>
    </row>
    <row r="731">
      <c r="E731" s="45"/>
      <c r="F731" s="45"/>
      <c r="G731" s="46"/>
    </row>
    <row r="732">
      <c r="E732" s="45"/>
      <c r="F732" s="45"/>
      <c r="G732" s="46"/>
    </row>
    <row r="733">
      <c r="E733" s="45"/>
      <c r="F733" s="45"/>
      <c r="G733" s="46"/>
    </row>
    <row r="734">
      <c r="E734" s="45"/>
      <c r="F734" s="45"/>
      <c r="G734" s="46"/>
    </row>
    <row r="735">
      <c r="E735" s="45"/>
      <c r="F735" s="45"/>
      <c r="G735" s="46"/>
    </row>
    <row r="736">
      <c r="E736" s="45"/>
      <c r="F736" s="45"/>
      <c r="G736" s="46"/>
    </row>
    <row r="737">
      <c r="E737" s="45"/>
      <c r="F737" s="45"/>
      <c r="G737" s="46"/>
    </row>
    <row r="738">
      <c r="E738" s="45"/>
      <c r="F738" s="45"/>
      <c r="G738" s="46"/>
    </row>
    <row r="739">
      <c r="E739" s="45"/>
      <c r="F739" s="45"/>
      <c r="G739" s="46"/>
    </row>
    <row r="740">
      <c r="E740" s="45"/>
      <c r="F740" s="45"/>
      <c r="G740" s="46"/>
    </row>
    <row r="741">
      <c r="E741" s="45"/>
      <c r="F741" s="45"/>
      <c r="G741" s="46"/>
    </row>
    <row r="742">
      <c r="E742" s="45"/>
      <c r="F742" s="45"/>
      <c r="G742" s="46"/>
    </row>
    <row r="743">
      <c r="E743" s="45"/>
      <c r="F743" s="45"/>
      <c r="G743" s="46"/>
    </row>
    <row r="744">
      <c r="E744" s="45"/>
      <c r="F744" s="45"/>
      <c r="G744" s="46"/>
    </row>
    <row r="745">
      <c r="E745" s="45"/>
      <c r="F745" s="45"/>
      <c r="G745" s="46"/>
    </row>
    <row r="746">
      <c r="E746" s="45"/>
      <c r="F746" s="45"/>
      <c r="G746" s="46"/>
    </row>
    <row r="747">
      <c r="E747" s="45"/>
      <c r="F747" s="45"/>
      <c r="G747" s="46"/>
    </row>
    <row r="748">
      <c r="E748" s="45"/>
      <c r="F748" s="45"/>
      <c r="G748" s="46"/>
    </row>
    <row r="749">
      <c r="E749" s="45"/>
      <c r="F749" s="45"/>
      <c r="G749" s="46"/>
    </row>
    <row r="750">
      <c r="E750" s="45"/>
      <c r="F750" s="45"/>
      <c r="G750" s="46"/>
    </row>
    <row r="751">
      <c r="E751" s="45"/>
      <c r="F751" s="45"/>
      <c r="G751" s="46"/>
    </row>
    <row r="752">
      <c r="E752" s="45"/>
      <c r="F752" s="45"/>
      <c r="G752" s="46"/>
    </row>
    <row r="753">
      <c r="E753" s="45"/>
      <c r="F753" s="45"/>
      <c r="G753" s="46"/>
    </row>
    <row r="754">
      <c r="E754" s="45"/>
      <c r="F754" s="45"/>
      <c r="G754" s="46"/>
    </row>
    <row r="755">
      <c r="E755" s="45"/>
      <c r="F755" s="45"/>
      <c r="G755" s="46"/>
    </row>
    <row r="756">
      <c r="E756" s="45"/>
      <c r="F756" s="45"/>
      <c r="G756" s="46"/>
    </row>
    <row r="757">
      <c r="E757" s="45"/>
      <c r="F757" s="45"/>
      <c r="G757" s="46"/>
    </row>
    <row r="758">
      <c r="E758" s="45"/>
      <c r="F758" s="45"/>
      <c r="G758" s="46"/>
    </row>
    <row r="759">
      <c r="E759" s="45"/>
      <c r="F759" s="45"/>
      <c r="G759" s="46"/>
    </row>
    <row r="760">
      <c r="E760" s="45"/>
      <c r="F760" s="45"/>
      <c r="G760" s="46"/>
    </row>
    <row r="761">
      <c r="E761" s="45"/>
      <c r="F761" s="45"/>
      <c r="G761" s="46"/>
    </row>
    <row r="762">
      <c r="E762" s="45"/>
      <c r="F762" s="45"/>
      <c r="G762" s="46"/>
    </row>
    <row r="763">
      <c r="E763" s="45"/>
      <c r="F763" s="45"/>
      <c r="G763" s="46"/>
    </row>
    <row r="764">
      <c r="E764" s="45"/>
      <c r="F764" s="45"/>
      <c r="G764" s="46"/>
    </row>
    <row r="765">
      <c r="E765" s="45"/>
      <c r="F765" s="45"/>
      <c r="G765" s="46"/>
    </row>
    <row r="766">
      <c r="E766" s="45"/>
      <c r="F766" s="45"/>
      <c r="G766" s="46"/>
    </row>
    <row r="767">
      <c r="E767" s="45"/>
      <c r="F767" s="45"/>
      <c r="G767" s="46"/>
    </row>
    <row r="768">
      <c r="E768" s="45"/>
      <c r="F768" s="45"/>
      <c r="G768" s="46"/>
    </row>
    <row r="769">
      <c r="E769" s="45"/>
      <c r="F769" s="45"/>
      <c r="G769" s="46"/>
    </row>
    <row r="770">
      <c r="E770" s="45"/>
      <c r="F770" s="45"/>
      <c r="G770" s="46"/>
    </row>
    <row r="771">
      <c r="E771" s="45"/>
      <c r="F771" s="45"/>
      <c r="G771" s="46"/>
    </row>
    <row r="772">
      <c r="E772" s="45"/>
      <c r="F772" s="45"/>
      <c r="G772" s="46"/>
    </row>
    <row r="773">
      <c r="E773" s="45"/>
      <c r="F773" s="45"/>
      <c r="G773" s="46"/>
    </row>
    <row r="774">
      <c r="E774" s="45"/>
      <c r="F774" s="45"/>
      <c r="G774" s="46"/>
    </row>
    <row r="775">
      <c r="E775" s="45"/>
      <c r="F775" s="45"/>
      <c r="G775" s="46"/>
    </row>
    <row r="776">
      <c r="E776" s="45"/>
      <c r="F776" s="45"/>
      <c r="G776" s="46"/>
    </row>
    <row r="777">
      <c r="E777" s="45"/>
      <c r="F777" s="45"/>
      <c r="G777" s="46"/>
    </row>
    <row r="778">
      <c r="E778" s="45"/>
      <c r="F778" s="45"/>
      <c r="G778" s="46"/>
    </row>
    <row r="779">
      <c r="E779" s="45"/>
      <c r="F779" s="45"/>
      <c r="G779" s="46"/>
    </row>
    <row r="780">
      <c r="E780" s="45"/>
      <c r="F780" s="45"/>
      <c r="G780" s="46"/>
    </row>
    <row r="781">
      <c r="E781" s="45"/>
      <c r="F781" s="45"/>
      <c r="G781" s="46"/>
    </row>
    <row r="782">
      <c r="E782" s="45"/>
      <c r="F782" s="45"/>
      <c r="G782" s="46"/>
    </row>
    <row r="783">
      <c r="E783" s="45"/>
      <c r="F783" s="45"/>
      <c r="G783" s="46"/>
    </row>
    <row r="784">
      <c r="E784" s="45"/>
      <c r="F784" s="45"/>
      <c r="G784" s="46"/>
    </row>
    <row r="785">
      <c r="E785" s="45"/>
      <c r="F785" s="45"/>
      <c r="G785" s="46"/>
    </row>
    <row r="786">
      <c r="E786" s="45"/>
      <c r="F786" s="45"/>
      <c r="G786" s="46"/>
    </row>
    <row r="787">
      <c r="E787" s="45"/>
      <c r="F787" s="45"/>
      <c r="G787" s="46"/>
    </row>
    <row r="788">
      <c r="E788" s="45"/>
      <c r="F788" s="45"/>
      <c r="G788" s="46"/>
    </row>
    <row r="789">
      <c r="E789" s="45"/>
      <c r="F789" s="45"/>
      <c r="G789" s="46"/>
    </row>
    <row r="790">
      <c r="E790" s="45"/>
      <c r="F790" s="45"/>
      <c r="G790" s="46"/>
    </row>
    <row r="791">
      <c r="E791" s="45"/>
      <c r="F791" s="45"/>
      <c r="G791" s="46"/>
    </row>
    <row r="792">
      <c r="E792" s="45"/>
      <c r="F792" s="45"/>
      <c r="G792" s="46"/>
    </row>
    <row r="793">
      <c r="E793" s="45"/>
      <c r="F793" s="45"/>
      <c r="G793" s="46"/>
    </row>
    <row r="794">
      <c r="E794" s="45"/>
      <c r="F794" s="45"/>
      <c r="G794" s="46"/>
    </row>
    <row r="795">
      <c r="E795" s="45"/>
      <c r="F795" s="45"/>
      <c r="G795" s="46"/>
    </row>
    <row r="796">
      <c r="E796" s="45"/>
      <c r="F796" s="45"/>
      <c r="G796" s="46"/>
    </row>
    <row r="797">
      <c r="E797" s="45"/>
      <c r="F797" s="45"/>
      <c r="G797" s="46"/>
    </row>
    <row r="798">
      <c r="E798" s="45"/>
      <c r="F798" s="45"/>
      <c r="G798" s="46"/>
    </row>
    <row r="799">
      <c r="E799" s="45"/>
      <c r="F799" s="45"/>
      <c r="G799" s="46"/>
    </row>
    <row r="800">
      <c r="E800" s="45"/>
      <c r="F800" s="45"/>
      <c r="G800" s="46"/>
    </row>
    <row r="801">
      <c r="E801" s="45"/>
      <c r="F801" s="45"/>
      <c r="G801" s="46"/>
    </row>
    <row r="802">
      <c r="E802" s="45"/>
      <c r="F802" s="45"/>
      <c r="G802" s="46"/>
    </row>
    <row r="803">
      <c r="E803" s="45"/>
      <c r="F803" s="45"/>
      <c r="G803" s="46"/>
    </row>
    <row r="804">
      <c r="E804" s="45"/>
      <c r="F804" s="45"/>
      <c r="G804" s="46"/>
    </row>
    <row r="805">
      <c r="E805" s="45"/>
      <c r="F805" s="45"/>
      <c r="G805" s="46"/>
    </row>
    <row r="806">
      <c r="E806" s="45"/>
      <c r="F806" s="45"/>
      <c r="G806" s="46"/>
    </row>
    <row r="807">
      <c r="E807" s="45"/>
      <c r="F807" s="45"/>
      <c r="G807" s="46"/>
    </row>
    <row r="808">
      <c r="E808" s="45"/>
      <c r="F808" s="45"/>
      <c r="G808" s="46"/>
    </row>
    <row r="809">
      <c r="E809" s="45"/>
      <c r="F809" s="45"/>
      <c r="G809" s="46"/>
    </row>
    <row r="810">
      <c r="E810" s="45"/>
      <c r="F810" s="45"/>
      <c r="G810" s="46"/>
    </row>
    <row r="811">
      <c r="E811" s="45"/>
      <c r="F811" s="45"/>
      <c r="G811" s="46"/>
    </row>
    <row r="812">
      <c r="E812" s="45"/>
      <c r="F812" s="45"/>
      <c r="G812" s="46"/>
    </row>
    <row r="813">
      <c r="E813" s="45"/>
      <c r="F813" s="45"/>
      <c r="G813" s="46"/>
    </row>
    <row r="814">
      <c r="E814" s="45"/>
      <c r="F814" s="45"/>
      <c r="G814" s="46"/>
    </row>
    <row r="815">
      <c r="E815" s="45"/>
      <c r="F815" s="45"/>
      <c r="G815" s="46"/>
    </row>
    <row r="816">
      <c r="E816" s="45"/>
      <c r="F816" s="45"/>
      <c r="G816" s="46"/>
    </row>
    <row r="817">
      <c r="E817" s="45"/>
      <c r="F817" s="45"/>
      <c r="G817" s="46"/>
    </row>
    <row r="818">
      <c r="E818" s="45"/>
      <c r="F818" s="45"/>
      <c r="G818" s="46"/>
    </row>
    <row r="819">
      <c r="E819" s="45"/>
      <c r="F819" s="45"/>
      <c r="G819" s="46"/>
    </row>
    <row r="820">
      <c r="E820" s="45"/>
      <c r="F820" s="45"/>
      <c r="G820" s="46"/>
    </row>
    <row r="821">
      <c r="E821" s="45"/>
      <c r="F821" s="45"/>
      <c r="G821" s="46"/>
    </row>
    <row r="822">
      <c r="E822" s="45"/>
      <c r="F822" s="45"/>
      <c r="G822" s="46"/>
    </row>
    <row r="823">
      <c r="E823" s="45"/>
      <c r="F823" s="45"/>
      <c r="G823" s="46"/>
    </row>
    <row r="824">
      <c r="E824" s="45"/>
      <c r="F824" s="45"/>
      <c r="G824" s="46"/>
    </row>
    <row r="825">
      <c r="E825" s="45"/>
      <c r="F825" s="45"/>
      <c r="G825" s="46"/>
    </row>
    <row r="826">
      <c r="E826" s="45"/>
      <c r="F826" s="45"/>
      <c r="G826" s="46"/>
    </row>
    <row r="827">
      <c r="E827" s="45"/>
      <c r="F827" s="45"/>
      <c r="G827" s="46"/>
    </row>
    <row r="828">
      <c r="E828" s="45"/>
      <c r="F828" s="45"/>
      <c r="G828" s="46"/>
    </row>
    <row r="829">
      <c r="E829" s="45"/>
      <c r="F829" s="45"/>
      <c r="G829" s="46"/>
    </row>
    <row r="830">
      <c r="E830" s="45"/>
      <c r="F830" s="45"/>
      <c r="G830" s="46"/>
    </row>
    <row r="831">
      <c r="E831" s="45"/>
      <c r="F831" s="45"/>
      <c r="G831" s="46"/>
    </row>
    <row r="832">
      <c r="E832" s="45"/>
      <c r="F832" s="45"/>
      <c r="G832" s="46"/>
    </row>
    <row r="833">
      <c r="E833" s="45"/>
      <c r="F833" s="45"/>
      <c r="G833" s="46"/>
    </row>
    <row r="834">
      <c r="E834" s="45"/>
      <c r="F834" s="45"/>
      <c r="G834" s="46"/>
    </row>
    <row r="835">
      <c r="E835" s="45"/>
      <c r="F835" s="45"/>
      <c r="G835" s="46"/>
    </row>
    <row r="836">
      <c r="E836" s="45"/>
      <c r="F836" s="45"/>
      <c r="G836" s="46"/>
    </row>
    <row r="837">
      <c r="E837" s="45"/>
      <c r="F837" s="45"/>
      <c r="G837" s="46"/>
    </row>
    <row r="838">
      <c r="E838" s="45"/>
      <c r="F838" s="45"/>
      <c r="G838" s="46"/>
    </row>
    <row r="839">
      <c r="E839" s="45"/>
      <c r="F839" s="45"/>
      <c r="G839" s="46"/>
    </row>
    <row r="840">
      <c r="E840" s="45"/>
      <c r="F840" s="45"/>
      <c r="G840" s="46"/>
    </row>
    <row r="841">
      <c r="E841" s="45"/>
      <c r="F841" s="45"/>
      <c r="G841" s="46"/>
    </row>
    <row r="842">
      <c r="E842" s="45"/>
      <c r="F842" s="45"/>
      <c r="G842" s="46"/>
    </row>
    <row r="843">
      <c r="E843" s="45"/>
      <c r="F843" s="45"/>
      <c r="G843" s="46"/>
    </row>
    <row r="844">
      <c r="E844" s="45"/>
      <c r="F844" s="45"/>
      <c r="G844" s="46"/>
    </row>
    <row r="845">
      <c r="E845" s="45"/>
      <c r="F845" s="45"/>
      <c r="G845" s="46"/>
    </row>
    <row r="846">
      <c r="E846" s="45"/>
      <c r="F846" s="45"/>
      <c r="G846" s="46"/>
    </row>
    <row r="847">
      <c r="E847" s="45"/>
      <c r="F847" s="45"/>
      <c r="G847" s="46"/>
    </row>
    <row r="848">
      <c r="E848" s="45"/>
      <c r="F848" s="45"/>
      <c r="G848" s="46"/>
    </row>
    <row r="849">
      <c r="E849" s="45"/>
      <c r="F849" s="45"/>
      <c r="G849" s="46"/>
    </row>
    <row r="850">
      <c r="E850" s="45"/>
      <c r="F850" s="45"/>
      <c r="G850" s="46"/>
    </row>
    <row r="851">
      <c r="E851" s="45"/>
      <c r="F851" s="45"/>
      <c r="G851" s="46"/>
    </row>
    <row r="852">
      <c r="E852" s="45"/>
      <c r="F852" s="45"/>
      <c r="G852" s="46"/>
    </row>
    <row r="853">
      <c r="E853" s="45"/>
      <c r="F853" s="45"/>
      <c r="G853" s="46"/>
    </row>
    <row r="854">
      <c r="E854" s="45"/>
      <c r="F854" s="45"/>
      <c r="G854" s="46"/>
    </row>
    <row r="855">
      <c r="E855" s="45"/>
      <c r="F855" s="45"/>
      <c r="G855" s="46"/>
    </row>
    <row r="856">
      <c r="E856" s="45"/>
      <c r="F856" s="45"/>
      <c r="G856" s="46"/>
    </row>
    <row r="857">
      <c r="E857" s="45"/>
      <c r="F857" s="45"/>
      <c r="G857" s="46"/>
    </row>
    <row r="858">
      <c r="E858" s="45"/>
      <c r="F858" s="45"/>
      <c r="G858" s="46"/>
    </row>
    <row r="859">
      <c r="E859" s="45"/>
      <c r="F859" s="45"/>
      <c r="G859" s="46"/>
    </row>
    <row r="860">
      <c r="E860" s="45"/>
      <c r="F860" s="45"/>
      <c r="G860" s="46"/>
    </row>
    <row r="861">
      <c r="E861" s="45"/>
      <c r="F861" s="45"/>
      <c r="G861" s="46"/>
    </row>
    <row r="862">
      <c r="E862" s="45"/>
      <c r="F862" s="45"/>
      <c r="G862" s="46"/>
    </row>
    <row r="863">
      <c r="E863" s="45"/>
      <c r="F863" s="45"/>
      <c r="G863" s="46"/>
    </row>
    <row r="864">
      <c r="E864" s="45"/>
      <c r="F864" s="45"/>
      <c r="G864" s="46"/>
    </row>
    <row r="865">
      <c r="E865" s="45"/>
      <c r="F865" s="45"/>
      <c r="G865" s="46"/>
    </row>
    <row r="866">
      <c r="E866" s="45"/>
      <c r="F866" s="45"/>
      <c r="G866" s="46"/>
    </row>
    <row r="867">
      <c r="E867" s="45"/>
      <c r="F867" s="45"/>
      <c r="G867" s="46"/>
    </row>
    <row r="868">
      <c r="E868" s="45"/>
      <c r="F868" s="45"/>
      <c r="G868" s="46"/>
    </row>
    <row r="869">
      <c r="E869" s="45"/>
      <c r="F869" s="45"/>
      <c r="G869" s="46"/>
    </row>
    <row r="870">
      <c r="E870" s="45"/>
      <c r="F870" s="45"/>
      <c r="G870" s="46"/>
    </row>
    <row r="871">
      <c r="E871" s="45"/>
      <c r="F871" s="45"/>
      <c r="G871" s="46"/>
    </row>
    <row r="872">
      <c r="E872" s="45"/>
      <c r="F872" s="45"/>
      <c r="G872" s="46"/>
    </row>
    <row r="873">
      <c r="E873" s="45"/>
      <c r="F873" s="45"/>
      <c r="G873" s="46"/>
    </row>
    <row r="874">
      <c r="E874" s="45"/>
      <c r="F874" s="45"/>
      <c r="G874" s="46"/>
    </row>
    <row r="875">
      <c r="E875" s="45"/>
      <c r="F875" s="45"/>
      <c r="G875" s="46"/>
    </row>
    <row r="876">
      <c r="E876" s="45"/>
      <c r="F876" s="45"/>
      <c r="G876" s="46"/>
    </row>
    <row r="877">
      <c r="E877" s="45"/>
      <c r="F877" s="45"/>
      <c r="G877" s="46"/>
    </row>
    <row r="878">
      <c r="E878" s="45"/>
      <c r="F878" s="45"/>
      <c r="G878" s="46"/>
    </row>
    <row r="879">
      <c r="E879" s="45"/>
      <c r="F879" s="45"/>
      <c r="G879" s="46"/>
    </row>
    <row r="880">
      <c r="E880" s="45"/>
      <c r="F880" s="45"/>
      <c r="G880" s="46"/>
    </row>
    <row r="881">
      <c r="E881" s="45"/>
      <c r="F881" s="45"/>
      <c r="G881" s="46"/>
    </row>
    <row r="882">
      <c r="E882" s="45"/>
      <c r="F882" s="45"/>
      <c r="G882" s="46"/>
    </row>
    <row r="883">
      <c r="E883" s="45"/>
      <c r="F883" s="45"/>
      <c r="G883" s="46"/>
    </row>
    <row r="884">
      <c r="E884" s="45"/>
      <c r="F884" s="45"/>
      <c r="G884" s="46"/>
    </row>
    <row r="885">
      <c r="E885" s="45"/>
      <c r="F885" s="45"/>
      <c r="G885" s="46"/>
    </row>
    <row r="886">
      <c r="E886" s="45"/>
      <c r="F886" s="45"/>
      <c r="G886" s="46"/>
    </row>
    <row r="887">
      <c r="E887" s="45"/>
      <c r="F887" s="45"/>
      <c r="G887" s="46"/>
    </row>
    <row r="888">
      <c r="E888" s="45"/>
      <c r="F888" s="45"/>
      <c r="G888" s="46"/>
    </row>
    <row r="889">
      <c r="E889" s="45"/>
      <c r="F889" s="45"/>
      <c r="G889" s="46"/>
    </row>
    <row r="890">
      <c r="E890" s="45"/>
      <c r="F890" s="45"/>
      <c r="G890" s="46"/>
    </row>
    <row r="891">
      <c r="E891" s="45"/>
      <c r="F891" s="45"/>
      <c r="G891" s="46"/>
    </row>
    <row r="892">
      <c r="E892" s="45"/>
      <c r="F892" s="45"/>
      <c r="G892" s="46"/>
    </row>
    <row r="893">
      <c r="E893" s="45"/>
      <c r="F893" s="45"/>
      <c r="G893" s="46"/>
    </row>
    <row r="894">
      <c r="E894" s="45"/>
      <c r="F894" s="45"/>
      <c r="G894" s="46"/>
    </row>
    <row r="895">
      <c r="E895" s="45"/>
      <c r="F895" s="45"/>
      <c r="G895" s="46"/>
    </row>
    <row r="896">
      <c r="E896" s="45"/>
      <c r="F896" s="45"/>
      <c r="G896" s="46"/>
    </row>
    <row r="897">
      <c r="E897" s="45"/>
      <c r="F897" s="45"/>
      <c r="G897" s="46"/>
    </row>
    <row r="898">
      <c r="E898" s="45"/>
      <c r="F898" s="45"/>
      <c r="G898" s="46"/>
    </row>
    <row r="899">
      <c r="E899" s="45"/>
      <c r="F899" s="45"/>
      <c r="G899" s="46"/>
    </row>
    <row r="900">
      <c r="E900" s="45"/>
      <c r="F900" s="45"/>
      <c r="G900" s="46"/>
    </row>
    <row r="901">
      <c r="E901" s="45"/>
      <c r="F901" s="45"/>
      <c r="G901" s="46"/>
    </row>
    <row r="902">
      <c r="E902" s="45"/>
      <c r="F902" s="45"/>
      <c r="G902" s="46"/>
    </row>
    <row r="903">
      <c r="E903" s="45"/>
      <c r="F903" s="45"/>
      <c r="G903" s="46"/>
    </row>
    <row r="904">
      <c r="E904" s="45"/>
      <c r="F904" s="45"/>
      <c r="G904" s="46"/>
    </row>
    <row r="905">
      <c r="E905" s="45"/>
      <c r="F905" s="45"/>
      <c r="G905" s="46"/>
    </row>
    <row r="906">
      <c r="E906" s="45"/>
      <c r="F906" s="45"/>
      <c r="G906" s="46"/>
    </row>
    <row r="907">
      <c r="E907" s="45"/>
      <c r="F907" s="45"/>
      <c r="G907" s="46"/>
    </row>
    <row r="908">
      <c r="E908" s="45"/>
      <c r="F908" s="45"/>
      <c r="G908" s="46"/>
    </row>
    <row r="909">
      <c r="E909" s="45"/>
      <c r="F909" s="45"/>
      <c r="G909" s="46"/>
    </row>
    <row r="910">
      <c r="E910" s="45"/>
      <c r="F910" s="45"/>
      <c r="G910" s="46"/>
    </row>
    <row r="911">
      <c r="E911" s="45"/>
      <c r="F911" s="45"/>
      <c r="G911" s="46"/>
    </row>
    <row r="912">
      <c r="E912" s="45"/>
      <c r="F912" s="45"/>
      <c r="G912" s="46"/>
    </row>
    <row r="913">
      <c r="E913" s="45"/>
      <c r="F913" s="45"/>
      <c r="G913" s="46"/>
    </row>
    <row r="914">
      <c r="E914" s="45"/>
      <c r="F914" s="45"/>
      <c r="G914" s="46"/>
    </row>
    <row r="915">
      <c r="E915" s="45"/>
      <c r="F915" s="45"/>
      <c r="G915" s="46"/>
    </row>
    <row r="916">
      <c r="E916" s="45"/>
      <c r="F916" s="45"/>
      <c r="G916" s="46"/>
    </row>
    <row r="917">
      <c r="E917" s="45"/>
      <c r="F917" s="45"/>
      <c r="G917" s="46"/>
    </row>
    <row r="918">
      <c r="E918" s="45"/>
      <c r="F918" s="45"/>
      <c r="G918" s="46"/>
    </row>
    <row r="919">
      <c r="E919" s="45"/>
      <c r="F919" s="45"/>
      <c r="G919" s="46"/>
    </row>
    <row r="920">
      <c r="E920" s="45"/>
      <c r="F920" s="45"/>
      <c r="G920" s="46"/>
    </row>
    <row r="921">
      <c r="E921" s="45"/>
      <c r="F921" s="45"/>
      <c r="G921" s="46"/>
    </row>
    <row r="922">
      <c r="E922" s="45"/>
      <c r="F922" s="45"/>
      <c r="G922" s="46"/>
    </row>
    <row r="923">
      <c r="E923" s="45"/>
      <c r="F923" s="45"/>
      <c r="G923" s="46"/>
    </row>
    <row r="924">
      <c r="E924" s="45"/>
      <c r="F924" s="45"/>
      <c r="G924" s="46"/>
    </row>
    <row r="925">
      <c r="E925" s="45"/>
      <c r="F925" s="45"/>
      <c r="G925" s="46"/>
    </row>
    <row r="926">
      <c r="E926" s="45"/>
      <c r="F926" s="45"/>
      <c r="G926" s="46"/>
    </row>
    <row r="927">
      <c r="E927" s="45"/>
      <c r="F927" s="45"/>
      <c r="G927" s="46"/>
    </row>
    <row r="928">
      <c r="E928" s="45"/>
      <c r="F928" s="45"/>
      <c r="G928" s="46"/>
    </row>
    <row r="929">
      <c r="E929" s="45"/>
      <c r="F929" s="45"/>
      <c r="G929" s="46"/>
    </row>
    <row r="930">
      <c r="E930" s="45"/>
      <c r="F930" s="45"/>
      <c r="G930" s="46"/>
    </row>
    <row r="931">
      <c r="E931" s="45"/>
      <c r="F931" s="45"/>
      <c r="G931" s="46"/>
    </row>
    <row r="932">
      <c r="E932" s="45"/>
      <c r="F932" s="45"/>
      <c r="G932" s="46"/>
    </row>
    <row r="933">
      <c r="E933" s="45"/>
      <c r="F933" s="45"/>
      <c r="G933" s="46"/>
    </row>
    <row r="934">
      <c r="E934" s="45"/>
      <c r="F934" s="45"/>
      <c r="G934" s="46"/>
    </row>
    <row r="935">
      <c r="E935" s="45"/>
      <c r="F935" s="45"/>
      <c r="G935" s="46"/>
    </row>
    <row r="936">
      <c r="E936" s="45"/>
      <c r="F936" s="45"/>
      <c r="G936" s="46"/>
    </row>
    <row r="937">
      <c r="E937" s="45"/>
      <c r="F937" s="45"/>
      <c r="G937" s="46"/>
    </row>
    <row r="938">
      <c r="E938" s="45"/>
      <c r="F938" s="45"/>
      <c r="G938" s="46"/>
    </row>
    <row r="939">
      <c r="E939" s="45"/>
      <c r="F939" s="45"/>
      <c r="G939" s="46"/>
    </row>
    <row r="940">
      <c r="E940" s="45"/>
      <c r="F940" s="45"/>
      <c r="G940" s="46"/>
    </row>
    <row r="941">
      <c r="E941" s="45"/>
      <c r="F941" s="45"/>
      <c r="G941" s="46"/>
    </row>
    <row r="942">
      <c r="E942" s="45"/>
      <c r="F942" s="45"/>
      <c r="G942" s="46"/>
    </row>
    <row r="943">
      <c r="E943" s="45"/>
      <c r="F943" s="45"/>
      <c r="G943" s="46"/>
    </row>
    <row r="944">
      <c r="E944" s="45"/>
      <c r="F944" s="45"/>
      <c r="G944" s="46"/>
    </row>
    <row r="945">
      <c r="E945" s="45"/>
      <c r="F945" s="45"/>
      <c r="G945" s="46"/>
    </row>
    <row r="946">
      <c r="E946" s="45"/>
      <c r="F946" s="45"/>
      <c r="G946" s="46"/>
    </row>
    <row r="947">
      <c r="E947" s="45"/>
      <c r="F947" s="45"/>
      <c r="G947" s="46"/>
    </row>
    <row r="948">
      <c r="E948" s="45"/>
      <c r="F948" s="45"/>
      <c r="G948" s="46"/>
    </row>
    <row r="949">
      <c r="E949" s="45"/>
      <c r="F949" s="45"/>
      <c r="G949" s="46"/>
    </row>
    <row r="950">
      <c r="E950" s="45"/>
      <c r="F950" s="45"/>
      <c r="G950" s="46"/>
    </row>
    <row r="951">
      <c r="E951" s="45"/>
      <c r="F951" s="45"/>
      <c r="G951" s="46"/>
    </row>
    <row r="952">
      <c r="E952" s="45"/>
      <c r="F952" s="45"/>
      <c r="G952" s="46"/>
    </row>
    <row r="953">
      <c r="E953" s="45"/>
      <c r="F953" s="45"/>
      <c r="G953" s="46"/>
    </row>
    <row r="954">
      <c r="E954" s="45"/>
      <c r="F954" s="45"/>
      <c r="G954" s="46"/>
    </row>
    <row r="955">
      <c r="E955" s="45"/>
      <c r="F955" s="45"/>
      <c r="G955" s="46"/>
    </row>
    <row r="956">
      <c r="E956" s="45"/>
      <c r="F956" s="45"/>
      <c r="G956" s="46"/>
    </row>
    <row r="957">
      <c r="E957" s="45"/>
      <c r="F957" s="45"/>
      <c r="G957" s="46"/>
    </row>
    <row r="958">
      <c r="E958" s="45"/>
      <c r="F958" s="45"/>
      <c r="G958" s="46"/>
    </row>
    <row r="959">
      <c r="E959" s="45"/>
      <c r="F959" s="45"/>
      <c r="G959" s="46"/>
    </row>
    <row r="960">
      <c r="E960" s="45"/>
      <c r="F960" s="45"/>
      <c r="G960" s="46"/>
    </row>
    <row r="961">
      <c r="E961" s="45"/>
      <c r="F961" s="45"/>
      <c r="G961" s="46"/>
    </row>
    <row r="962">
      <c r="E962" s="45"/>
      <c r="F962" s="45"/>
      <c r="G962" s="46"/>
    </row>
    <row r="963">
      <c r="E963" s="45"/>
      <c r="F963" s="45"/>
      <c r="G963" s="46"/>
    </row>
    <row r="964">
      <c r="E964" s="45"/>
      <c r="F964" s="45"/>
      <c r="G964" s="46"/>
    </row>
    <row r="965">
      <c r="E965" s="45"/>
      <c r="F965" s="45"/>
      <c r="G965" s="46"/>
    </row>
    <row r="966">
      <c r="E966" s="45"/>
      <c r="F966" s="45"/>
      <c r="G966" s="46"/>
    </row>
    <row r="967">
      <c r="E967" s="45"/>
      <c r="F967" s="45"/>
      <c r="G967" s="46"/>
    </row>
    <row r="968">
      <c r="E968" s="45"/>
      <c r="F968" s="45"/>
      <c r="G968" s="46"/>
    </row>
    <row r="969">
      <c r="E969" s="45"/>
      <c r="F969" s="45"/>
      <c r="G969" s="46"/>
    </row>
    <row r="970">
      <c r="E970" s="45"/>
      <c r="F970" s="45"/>
      <c r="G970" s="46"/>
    </row>
    <row r="971">
      <c r="E971" s="45"/>
      <c r="F971" s="45"/>
      <c r="G971" s="46"/>
    </row>
    <row r="972">
      <c r="E972" s="45"/>
      <c r="F972" s="45"/>
      <c r="G972" s="46"/>
    </row>
    <row r="973">
      <c r="E973" s="45"/>
      <c r="F973" s="45"/>
      <c r="G973" s="46"/>
    </row>
    <row r="974">
      <c r="E974" s="45"/>
      <c r="F974" s="45"/>
      <c r="G974" s="46"/>
    </row>
    <row r="975">
      <c r="E975" s="45"/>
      <c r="F975" s="45"/>
      <c r="G975" s="46"/>
    </row>
    <row r="976">
      <c r="E976" s="45"/>
      <c r="F976" s="45"/>
      <c r="G976" s="46"/>
    </row>
    <row r="977">
      <c r="E977" s="45"/>
      <c r="F977" s="45"/>
      <c r="G977" s="46"/>
    </row>
    <row r="978">
      <c r="E978" s="45"/>
      <c r="F978" s="45"/>
      <c r="G978" s="46"/>
    </row>
    <row r="979">
      <c r="E979" s="45"/>
      <c r="F979" s="45"/>
      <c r="G979" s="46"/>
    </row>
    <row r="980">
      <c r="E980" s="45"/>
      <c r="F980" s="45"/>
      <c r="G980" s="46"/>
    </row>
    <row r="981">
      <c r="E981" s="45"/>
      <c r="F981" s="45"/>
      <c r="G981" s="46"/>
    </row>
    <row r="982">
      <c r="E982" s="45"/>
      <c r="F982" s="45"/>
      <c r="G982" s="46"/>
    </row>
    <row r="983">
      <c r="E983" s="45"/>
      <c r="F983" s="45"/>
      <c r="G983" s="46"/>
    </row>
    <row r="984">
      <c r="E984" s="45"/>
      <c r="F984" s="45"/>
      <c r="G984" s="46"/>
    </row>
    <row r="985">
      <c r="E985" s="45"/>
      <c r="F985" s="45"/>
      <c r="G985" s="46"/>
    </row>
    <row r="986">
      <c r="E986" s="45"/>
      <c r="F986" s="45"/>
      <c r="G986" s="46"/>
    </row>
    <row r="987">
      <c r="E987" s="45"/>
      <c r="F987" s="45"/>
      <c r="G987" s="46"/>
    </row>
    <row r="988">
      <c r="E988" s="45"/>
      <c r="F988" s="45"/>
      <c r="G988" s="46"/>
    </row>
    <row r="989">
      <c r="E989" s="45"/>
      <c r="F989" s="45"/>
      <c r="G989" s="46"/>
    </row>
    <row r="990">
      <c r="E990" s="45"/>
      <c r="F990" s="45"/>
      <c r="G990" s="46"/>
    </row>
    <row r="991">
      <c r="E991" s="45"/>
      <c r="F991" s="45"/>
      <c r="G991" s="46"/>
    </row>
    <row r="992">
      <c r="E992" s="45"/>
      <c r="F992" s="45"/>
      <c r="G992" s="46"/>
    </row>
    <row r="993">
      <c r="E993" s="45"/>
      <c r="F993" s="45"/>
      <c r="G993" s="46"/>
    </row>
    <row r="994">
      <c r="E994" s="45"/>
      <c r="F994" s="45"/>
      <c r="G994" s="46"/>
    </row>
    <row r="995">
      <c r="E995" s="45"/>
      <c r="F995" s="45"/>
      <c r="G995" s="46"/>
    </row>
    <row r="996">
      <c r="E996" s="45"/>
      <c r="F996" s="45"/>
      <c r="G996" s="46"/>
    </row>
    <row r="997">
      <c r="E997" s="45"/>
      <c r="F997" s="45"/>
      <c r="G997" s="46"/>
    </row>
    <row r="998">
      <c r="E998" s="45"/>
      <c r="F998" s="45"/>
      <c r="G998" s="46"/>
    </row>
    <row r="999">
      <c r="E999" s="45"/>
      <c r="F999" s="45"/>
      <c r="G999" s="46"/>
    </row>
    <row r="1000">
      <c r="E1000" s="45"/>
      <c r="F1000" s="45"/>
      <c r="G1000" s="46"/>
    </row>
    <row r="1001">
      <c r="E1001" s="45"/>
      <c r="F1001" s="45"/>
      <c r="G1001" s="46"/>
    </row>
    <row r="1002">
      <c r="E1002" s="45"/>
      <c r="F1002" s="45"/>
      <c r="G1002" s="46"/>
    </row>
    <row r="1003">
      <c r="E1003" s="45"/>
      <c r="F1003" s="45"/>
      <c r="G1003" s="46"/>
    </row>
    <row r="1004">
      <c r="E1004" s="45"/>
      <c r="F1004" s="45"/>
      <c r="G1004" s="46"/>
    </row>
    <row r="1005">
      <c r="E1005" s="45"/>
      <c r="F1005" s="45"/>
      <c r="G1005" s="46"/>
    </row>
    <row r="1006">
      <c r="E1006" s="45"/>
      <c r="F1006" s="45"/>
      <c r="G1006" s="46"/>
    </row>
    <row r="1007">
      <c r="E1007" s="45"/>
      <c r="F1007" s="45"/>
      <c r="G1007" s="46"/>
    </row>
    <row r="1008">
      <c r="E1008" s="45"/>
      <c r="F1008" s="45"/>
      <c r="G1008" s="46"/>
    </row>
    <row r="1009">
      <c r="E1009" s="45"/>
      <c r="F1009" s="45"/>
      <c r="G1009" s="46"/>
    </row>
    <row r="1010">
      <c r="E1010" s="45"/>
      <c r="F1010" s="45"/>
      <c r="G1010" s="46"/>
    </row>
    <row r="1011">
      <c r="E1011" s="45"/>
      <c r="F1011" s="45"/>
      <c r="G1011" s="46"/>
    </row>
    <row r="1012">
      <c r="E1012" s="45"/>
      <c r="F1012" s="45"/>
      <c r="G1012" s="46"/>
    </row>
    <row r="1013">
      <c r="E1013" s="45"/>
      <c r="F1013" s="45"/>
      <c r="G1013" s="46"/>
    </row>
    <row r="1014">
      <c r="E1014" s="45"/>
      <c r="F1014" s="45"/>
      <c r="G1014" s="46"/>
    </row>
    <row r="1015">
      <c r="E1015" s="45"/>
      <c r="F1015" s="45"/>
      <c r="G1015" s="46"/>
    </row>
  </sheetData>
  <dataValidations>
    <dataValidation type="custom" allowBlank="1" showDropDown="1" showInputMessage="1" prompt="Enter a valid date" sqref="E2:F84">
      <formula1>OR(NOT(ISERROR(DATEVALUE(E2))), AND(ISNUMBER(E2), LEFT(CELL("format", E2))="D"))</formula1>
    </dataValidation>
    <dataValidation type="list" allowBlank="1" sqref="H2:H84">
      <formula1>"Active,Paid,Write Off"</formula1>
    </dataValidation>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18.38"/>
    <col customWidth="1" min="3" max="3" width="16.0"/>
    <col customWidth="1" min="4" max="4" width="11.0"/>
    <col customWidth="1" min="5" max="5" width="11.38"/>
    <col customWidth="1" min="6" max="6" width="22.25"/>
    <col customWidth="1" min="8" max="8" width="9.0"/>
    <col customWidth="1" min="9" max="9" width="12.13"/>
  </cols>
  <sheetData>
    <row r="1" ht="22.5" customHeight="1">
      <c r="A1" s="20" t="s">
        <v>49</v>
      </c>
      <c r="B1" s="20" t="s">
        <v>83</v>
      </c>
      <c r="C1" s="20" t="s">
        <v>84</v>
      </c>
      <c r="D1" s="20" t="s">
        <v>85</v>
      </c>
      <c r="E1" s="20" t="s">
        <v>50</v>
      </c>
      <c r="F1" s="20" t="s">
        <v>62</v>
      </c>
      <c r="H1" s="47" t="s">
        <v>14</v>
      </c>
      <c r="I1" s="48">
        <f>SUM(E2:E149)</f>
        <v>145000</v>
      </c>
    </row>
    <row r="2" ht="22.5" customHeight="1">
      <c r="A2" s="35">
        <v>1.0</v>
      </c>
      <c r="B2" s="35" t="s">
        <v>64</v>
      </c>
      <c r="C2" s="35" t="s">
        <v>86</v>
      </c>
      <c r="E2" s="35">
        <v>30000.0</v>
      </c>
      <c r="F2" s="35" t="s">
        <v>87</v>
      </c>
    </row>
    <row r="3" ht="22.5" customHeight="1">
      <c r="A3" s="35">
        <v>2.0</v>
      </c>
      <c r="B3" s="35" t="s">
        <v>88</v>
      </c>
      <c r="C3" s="35" t="s">
        <v>80</v>
      </c>
      <c r="E3" s="35">
        <v>10000.0</v>
      </c>
      <c r="F3" s="35" t="s">
        <v>87</v>
      </c>
    </row>
    <row r="4" ht="22.5" customHeight="1">
      <c r="A4" s="35">
        <v>3.0</v>
      </c>
      <c r="B4" s="35" t="s">
        <v>89</v>
      </c>
      <c r="E4" s="35">
        <v>30000.0</v>
      </c>
      <c r="F4" s="35" t="s">
        <v>90</v>
      </c>
    </row>
    <row r="5" ht="22.5" customHeight="1">
      <c r="A5" s="35">
        <v>4.0</v>
      </c>
      <c r="B5" s="35" t="s">
        <v>91</v>
      </c>
      <c r="C5" s="35" t="s">
        <v>76</v>
      </c>
      <c r="E5" s="35">
        <v>25000.0</v>
      </c>
      <c r="F5" s="35" t="s">
        <v>87</v>
      </c>
    </row>
    <row r="6" ht="22.5" customHeight="1">
      <c r="A6" s="35">
        <v>5.0</v>
      </c>
      <c r="B6" s="35" t="s">
        <v>92</v>
      </c>
      <c r="C6" s="35" t="s">
        <v>93</v>
      </c>
      <c r="E6" s="35">
        <v>20000.0</v>
      </c>
      <c r="F6" s="35" t="s">
        <v>87</v>
      </c>
    </row>
    <row r="7" ht="22.5" customHeight="1">
      <c r="A7" s="35">
        <v>7.0</v>
      </c>
      <c r="B7" s="35" t="s">
        <v>94</v>
      </c>
      <c r="C7" s="35" t="s">
        <v>95</v>
      </c>
      <c r="E7" s="35">
        <v>20000.0</v>
      </c>
      <c r="F7" s="35" t="s">
        <v>96</v>
      </c>
    </row>
    <row r="8" ht="22.5" customHeight="1">
      <c r="A8" s="35">
        <v>8.0</v>
      </c>
      <c r="C8" s="35" t="s">
        <v>97</v>
      </c>
      <c r="D8" s="49">
        <v>45453.0</v>
      </c>
      <c r="E8" s="35">
        <v>10000.0</v>
      </c>
      <c r="F8" s="35" t="s">
        <v>87</v>
      </c>
    </row>
    <row r="9" ht="22.5" customHeight="1"/>
    <row r="10" ht="22.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88"/>
    <col customWidth="1" min="2" max="3" width="8.25"/>
    <col customWidth="1" min="4" max="4" width="8.38"/>
    <col customWidth="1" min="5" max="5" width="8.13"/>
    <col customWidth="1" min="6" max="6" width="8.63"/>
    <col customWidth="1" min="7" max="7" width="8.25"/>
    <col customWidth="1" min="8" max="8" width="8.5"/>
    <col customWidth="1" min="9" max="9" width="8.38"/>
    <col customWidth="1" min="10" max="10" width="8.25"/>
    <col customWidth="1" min="11" max="11" width="8.13"/>
    <col customWidth="1" min="12" max="13" width="8.38"/>
    <col customWidth="1" min="14" max="14" width="9.25"/>
  </cols>
  <sheetData>
    <row r="1" ht="22.5" customHeight="1">
      <c r="A1" s="20" t="s">
        <v>13</v>
      </c>
      <c r="B1" s="20" t="s">
        <v>98</v>
      </c>
      <c r="C1" s="20" t="s">
        <v>99</v>
      </c>
      <c r="D1" s="20" t="s">
        <v>100</v>
      </c>
      <c r="E1" s="20" t="s">
        <v>101</v>
      </c>
      <c r="F1" s="20" t="s">
        <v>102</v>
      </c>
      <c r="G1" s="20" t="s">
        <v>103</v>
      </c>
      <c r="H1" s="20" t="s">
        <v>104</v>
      </c>
      <c r="I1" s="20" t="s">
        <v>105</v>
      </c>
      <c r="J1" s="20" t="s">
        <v>106</v>
      </c>
      <c r="K1" s="20" t="s">
        <v>107</v>
      </c>
      <c r="L1" s="20" t="s">
        <v>108</v>
      </c>
      <c r="M1" s="20" t="s">
        <v>109</v>
      </c>
      <c r="N1" s="20" t="s">
        <v>14</v>
      </c>
    </row>
    <row r="2" ht="22.5" customHeight="1">
      <c r="A2" s="50" t="s">
        <v>110</v>
      </c>
      <c r="B2" s="51">
        <v>500.0</v>
      </c>
      <c r="C2" s="51">
        <v>500.0</v>
      </c>
      <c r="D2" s="51">
        <v>500.0</v>
      </c>
      <c r="E2" s="51">
        <v>0.0</v>
      </c>
      <c r="F2" s="51">
        <v>1000.0</v>
      </c>
      <c r="G2" s="51"/>
      <c r="H2" s="51"/>
      <c r="I2" s="51"/>
      <c r="J2" s="51"/>
      <c r="K2" s="51"/>
      <c r="L2" s="51"/>
      <c r="M2" s="51"/>
      <c r="N2" s="52">
        <f t="shared" ref="N2:N25" si="1">SUM(B2:M2)</f>
        <v>2500</v>
      </c>
    </row>
    <row r="3" ht="22.5" customHeight="1">
      <c r="A3" s="50" t="s">
        <v>111</v>
      </c>
      <c r="B3" s="51">
        <v>0.0</v>
      </c>
      <c r="C3" s="51">
        <v>0.0</v>
      </c>
      <c r="E3" s="51"/>
      <c r="F3" s="51"/>
      <c r="G3" s="51"/>
      <c r="H3" s="51"/>
      <c r="I3" s="51"/>
      <c r="J3" s="52"/>
      <c r="K3" s="51"/>
      <c r="L3" s="51"/>
      <c r="M3" s="51"/>
      <c r="N3" s="52">
        <f t="shared" si="1"/>
        <v>0</v>
      </c>
    </row>
    <row r="4" ht="22.5" customHeight="1">
      <c r="A4" s="50" t="s">
        <v>112</v>
      </c>
      <c r="B4" s="51">
        <v>500.0</v>
      </c>
      <c r="C4" s="51">
        <v>500.0</v>
      </c>
      <c r="D4" s="51">
        <v>500.0</v>
      </c>
      <c r="E4" s="51">
        <v>0.0</v>
      </c>
      <c r="F4" s="51">
        <v>1000.0</v>
      </c>
      <c r="G4" s="51"/>
      <c r="H4" s="51"/>
      <c r="I4" s="51"/>
      <c r="J4" s="51"/>
      <c r="K4" s="51"/>
      <c r="L4" s="51"/>
      <c r="M4" s="51"/>
      <c r="N4" s="52">
        <f t="shared" si="1"/>
        <v>2500</v>
      </c>
    </row>
    <row r="5" ht="22.5" customHeight="1">
      <c r="A5" s="50" t="s">
        <v>29</v>
      </c>
      <c r="B5" s="51">
        <v>500.0</v>
      </c>
      <c r="C5" s="51">
        <v>500.0</v>
      </c>
      <c r="D5" s="51">
        <v>500.0</v>
      </c>
      <c r="E5" s="51">
        <v>500.0</v>
      </c>
      <c r="F5" s="51">
        <v>500.0</v>
      </c>
      <c r="H5" s="51"/>
      <c r="I5" s="51"/>
      <c r="J5" s="51"/>
      <c r="K5" s="51"/>
      <c r="L5" s="51"/>
      <c r="M5" s="51"/>
      <c r="N5" s="52">
        <f t="shared" si="1"/>
        <v>2500</v>
      </c>
    </row>
    <row r="6" ht="22.5" hidden="1" customHeight="1">
      <c r="A6" s="50" t="s">
        <v>30</v>
      </c>
      <c r="B6" s="51"/>
      <c r="C6" s="51"/>
      <c r="D6" s="51"/>
      <c r="E6" s="51"/>
      <c r="F6" s="51"/>
      <c r="G6" s="51"/>
      <c r="H6" s="51"/>
      <c r="I6" s="51"/>
      <c r="J6" s="51"/>
      <c r="K6" s="51"/>
      <c r="L6" s="51"/>
      <c r="M6" s="51"/>
      <c r="N6" s="52">
        <f t="shared" si="1"/>
        <v>0</v>
      </c>
    </row>
    <row r="7" ht="22.5" hidden="1" customHeight="1">
      <c r="A7" s="50" t="s">
        <v>31</v>
      </c>
      <c r="B7" s="51"/>
      <c r="C7" s="51"/>
      <c r="D7" s="51"/>
      <c r="E7" s="51"/>
      <c r="F7" s="51"/>
      <c r="G7" s="51"/>
      <c r="H7" s="51"/>
      <c r="I7" s="51"/>
      <c r="J7" s="51"/>
      <c r="K7" s="51"/>
      <c r="L7" s="51"/>
      <c r="M7" s="51"/>
      <c r="N7" s="52">
        <f t="shared" si="1"/>
        <v>0</v>
      </c>
    </row>
    <row r="8" ht="22.5" customHeight="1">
      <c r="A8" s="50" t="s">
        <v>113</v>
      </c>
      <c r="B8" s="51">
        <v>750.0</v>
      </c>
      <c r="C8" s="51">
        <v>750.0</v>
      </c>
      <c r="D8" s="51">
        <v>750.0</v>
      </c>
      <c r="E8" s="51">
        <v>750.0</v>
      </c>
      <c r="F8" s="35">
        <v>750.0</v>
      </c>
      <c r="G8" s="51"/>
      <c r="H8" s="51"/>
      <c r="I8" s="53"/>
      <c r="J8" s="53"/>
      <c r="L8" s="51"/>
      <c r="M8" s="51"/>
      <c r="N8" s="52">
        <f t="shared" si="1"/>
        <v>3750</v>
      </c>
    </row>
    <row r="9" ht="22.5" customHeight="1">
      <c r="A9" s="50" t="s">
        <v>114</v>
      </c>
      <c r="B9" s="51">
        <v>0.0</v>
      </c>
      <c r="C9" s="51">
        <v>0.0</v>
      </c>
      <c r="D9" s="51">
        <v>0.0</v>
      </c>
      <c r="E9" s="51">
        <v>0.0</v>
      </c>
      <c r="F9" s="51"/>
      <c r="H9" s="51"/>
      <c r="I9" s="51"/>
      <c r="J9" s="51"/>
      <c r="K9" s="51"/>
      <c r="L9" s="52"/>
      <c r="M9" s="51"/>
      <c r="N9" s="52">
        <f t="shared" si="1"/>
        <v>0</v>
      </c>
    </row>
    <row r="10" ht="22.5" hidden="1" customHeight="1">
      <c r="A10" s="50" t="s">
        <v>115</v>
      </c>
      <c r="B10" s="51"/>
      <c r="C10" s="51"/>
      <c r="D10" s="51"/>
      <c r="E10" s="51"/>
      <c r="F10" s="51"/>
      <c r="G10" s="51"/>
      <c r="H10" s="51"/>
      <c r="I10" s="52"/>
      <c r="J10" s="52"/>
      <c r="K10" s="52"/>
      <c r="L10" s="52"/>
      <c r="M10" s="52"/>
      <c r="N10" s="52">
        <f t="shared" si="1"/>
        <v>0</v>
      </c>
    </row>
    <row r="11" ht="22.5" customHeight="1">
      <c r="A11" s="50" t="s">
        <v>35</v>
      </c>
      <c r="B11" s="51">
        <v>500.0</v>
      </c>
      <c r="C11" s="51">
        <v>500.0</v>
      </c>
      <c r="D11" s="51">
        <v>500.0</v>
      </c>
      <c r="E11" s="51">
        <v>0.0</v>
      </c>
      <c r="F11" s="51">
        <v>1000.0</v>
      </c>
      <c r="G11" s="51"/>
      <c r="H11" s="51"/>
      <c r="I11" s="51"/>
      <c r="J11" s="51"/>
      <c r="K11" s="51"/>
      <c r="L11" s="51"/>
      <c r="M11" s="51"/>
      <c r="N11" s="52">
        <f t="shared" si="1"/>
        <v>2500</v>
      </c>
    </row>
    <row r="12" ht="22.5" customHeight="1">
      <c r="A12" s="50" t="s">
        <v>116</v>
      </c>
      <c r="B12" s="51">
        <v>750.0</v>
      </c>
      <c r="C12" s="51">
        <v>750.0</v>
      </c>
      <c r="D12" s="51">
        <v>750.0</v>
      </c>
      <c r="E12" s="51">
        <v>750.0</v>
      </c>
      <c r="F12" s="51">
        <v>750.0</v>
      </c>
      <c r="G12" s="51"/>
      <c r="H12" s="51"/>
      <c r="I12" s="51"/>
      <c r="J12" s="51"/>
      <c r="K12" s="53"/>
      <c r="L12" s="51"/>
      <c r="M12" s="51"/>
      <c r="N12" s="52">
        <f t="shared" si="1"/>
        <v>3750</v>
      </c>
    </row>
    <row r="13" ht="22.5" customHeight="1">
      <c r="A13" s="50" t="s">
        <v>37</v>
      </c>
      <c r="B13" s="51">
        <v>500.0</v>
      </c>
      <c r="C13" s="51">
        <v>0.0</v>
      </c>
      <c r="D13" s="51">
        <v>0.0</v>
      </c>
      <c r="E13" s="51"/>
      <c r="F13" s="51">
        <v>1000.0</v>
      </c>
      <c r="H13" s="51"/>
      <c r="I13" s="53"/>
      <c r="J13" s="53"/>
      <c r="K13" s="51"/>
      <c r="L13" s="51"/>
      <c r="M13" s="51"/>
      <c r="N13" s="52">
        <f t="shared" si="1"/>
        <v>1500</v>
      </c>
    </row>
    <row r="14" ht="22.5" customHeight="1">
      <c r="A14" s="50" t="s">
        <v>38</v>
      </c>
      <c r="B14" s="51">
        <v>500.0</v>
      </c>
      <c r="C14" s="51">
        <v>500.0</v>
      </c>
      <c r="D14" s="51">
        <v>500.0</v>
      </c>
      <c r="E14" s="51">
        <v>0.0</v>
      </c>
      <c r="F14" s="51">
        <v>1000.0</v>
      </c>
      <c r="G14" s="51"/>
      <c r="H14" s="51"/>
      <c r="I14" s="51"/>
      <c r="J14" s="51"/>
      <c r="K14" s="51"/>
      <c r="L14" s="51"/>
      <c r="M14" s="51"/>
      <c r="N14" s="52">
        <f t="shared" si="1"/>
        <v>2500</v>
      </c>
    </row>
    <row r="15" ht="22.5" hidden="1" customHeight="1">
      <c r="A15" s="50" t="s">
        <v>39</v>
      </c>
      <c r="B15" s="51"/>
      <c r="C15" s="51"/>
      <c r="D15" s="51"/>
      <c r="E15" s="51"/>
      <c r="F15" s="51"/>
      <c r="G15" s="51"/>
      <c r="H15" s="51"/>
      <c r="I15" s="52"/>
      <c r="J15" s="52"/>
      <c r="K15" s="52"/>
      <c r="L15" s="52"/>
      <c r="M15" s="52"/>
      <c r="N15" s="52">
        <f t="shared" si="1"/>
        <v>0</v>
      </c>
    </row>
    <row r="16" ht="22.5" customHeight="1">
      <c r="A16" s="50" t="s">
        <v>40</v>
      </c>
      <c r="B16" s="51">
        <v>500.0</v>
      </c>
      <c r="C16" s="51">
        <v>500.0</v>
      </c>
      <c r="D16" s="51">
        <v>500.0</v>
      </c>
      <c r="E16" s="51">
        <v>500.0</v>
      </c>
      <c r="F16" s="51">
        <v>500.0</v>
      </c>
      <c r="H16" s="51"/>
      <c r="I16" s="51"/>
      <c r="J16" s="51"/>
      <c r="K16" s="51"/>
      <c r="L16" s="51"/>
      <c r="M16" s="51"/>
      <c r="N16" s="52">
        <f t="shared" si="1"/>
        <v>2500</v>
      </c>
    </row>
    <row r="17" ht="22.5" customHeight="1">
      <c r="A17" s="50" t="s">
        <v>117</v>
      </c>
      <c r="B17" s="51">
        <v>0.0</v>
      </c>
      <c r="C17" s="51">
        <v>500.0</v>
      </c>
      <c r="D17" s="51">
        <v>500.0</v>
      </c>
      <c r="E17" s="51">
        <v>500.0</v>
      </c>
      <c r="F17" s="51">
        <v>500.0</v>
      </c>
      <c r="G17" s="51"/>
      <c r="H17" s="51"/>
      <c r="I17" s="51"/>
      <c r="J17" s="51"/>
      <c r="K17" s="51"/>
      <c r="L17" s="51"/>
      <c r="M17" s="51"/>
      <c r="N17" s="52">
        <f t="shared" si="1"/>
        <v>2000</v>
      </c>
    </row>
    <row r="18" ht="22.5" customHeight="1">
      <c r="A18" s="50" t="s">
        <v>42</v>
      </c>
      <c r="B18" s="51">
        <v>500.0</v>
      </c>
      <c r="C18" s="51">
        <v>500.0</v>
      </c>
      <c r="D18" s="51">
        <v>500.0</v>
      </c>
      <c r="E18" s="51">
        <v>500.0</v>
      </c>
      <c r="F18" s="51">
        <v>500.0</v>
      </c>
      <c r="G18" s="51"/>
      <c r="H18" s="51"/>
      <c r="I18" s="51"/>
      <c r="J18" s="51"/>
      <c r="L18" s="51"/>
      <c r="M18" s="51"/>
      <c r="N18" s="52">
        <f t="shared" si="1"/>
        <v>2500</v>
      </c>
    </row>
    <row r="19" ht="22.5" customHeight="1">
      <c r="A19" s="50" t="s">
        <v>118</v>
      </c>
      <c r="B19" s="51">
        <v>0.0</v>
      </c>
      <c r="C19" s="51">
        <v>0.0</v>
      </c>
      <c r="D19" s="51"/>
      <c r="E19" s="51"/>
      <c r="F19" s="51"/>
      <c r="G19" s="51"/>
      <c r="H19" s="51"/>
      <c r="I19" s="52"/>
      <c r="J19" s="51"/>
      <c r="K19" s="51"/>
      <c r="L19" s="52"/>
      <c r="M19" s="51"/>
      <c r="N19" s="52">
        <f t="shared" si="1"/>
        <v>0</v>
      </c>
    </row>
    <row r="20" ht="22.5" customHeight="1">
      <c r="A20" s="22" t="s">
        <v>44</v>
      </c>
      <c r="B20" s="51">
        <v>600.0</v>
      </c>
      <c r="C20" s="51">
        <v>600.0</v>
      </c>
      <c r="D20" s="51">
        <v>600.0</v>
      </c>
      <c r="E20" s="51">
        <v>600.0</v>
      </c>
      <c r="F20" s="51"/>
      <c r="G20" s="51"/>
      <c r="H20" s="51"/>
      <c r="I20" s="51"/>
      <c r="J20" s="51"/>
      <c r="K20" s="51"/>
      <c r="L20" s="51"/>
      <c r="M20" s="51"/>
      <c r="N20" s="52">
        <f t="shared" si="1"/>
        <v>2400</v>
      </c>
    </row>
    <row r="21" ht="22.5" customHeight="1">
      <c r="A21" s="22" t="s">
        <v>45</v>
      </c>
      <c r="B21" s="51">
        <v>0.0</v>
      </c>
      <c r="C21" s="51">
        <v>0.0</v>
      </c>
      <c r="D21" s="51">
        <v>0.0</v>
      </c>
      <c r="E21" s="51">
        <v>0.0</v>
      </c>
      <c r="F21" s="51">
        <v>0.0</v>
      </c>
      <c r="G21" s="51"/>
      <c r="H21" s="51"/>
      <c r="I21" s="52"/>
      <c r="J21" s="52"/>
      <c r="K21" s="52"/>
      <c r="L21" s="52"/>
      <c r="M21" s="52"/>
      <c r="N21" s="52">
        <f t="shared" si="1"/>
        <v>0</v>
      </c>
    </row>
    <row r="22" ht="22.5" customHeight="1">
      <c r="A22" s="22" t="s">
        <v>46</v>
      </c>
      <c r="B22" s="51">
        <v>500.0</v>
      </c>
      <c r="C22" s="51">
        <v>500.0</v>
      </c>
      <c r="D22" s="51">
        <v>500.0</v>
      </c>
      <c r="E22" s="51">
        <v>500.0</v>
      </c>
      <c r="F22" s="51">
        <v>500.0</v>
      </c>
      <c r="G22" s="51"/>
      <c r="H22" s="51"/>
      <c r="I22" s="51"/>
      <c r="J22" s="51"/>
      <c r="K22" s="51"/>
      <c r="L22" s="51"/>
      <c r="M22" s="51"/>
      <c r="N22" s="52">
        <f t="shared" si="1"/>
        <v>2500</v>
      </c>
    </row>
    <row r="23" ht="22.5" customHeight="1">
      <c r="A23" s="22" t="s">
        <v>47</v>
      </c>
      <c r="B23" s="51">
        <v>500.0</v>
      </c>
      <c r="C23" s="51">
        <v>500.0</v>
      </c>
      <c r="D23" s="51">
        <v>500.0</v>
      </c>
      <c r="E23" s="51"/>
      <c r="F23" s="51">
        <v>1000.0</v>
      </c>
      <c r="H23" s="51"/>
      <c r="I23" s="51"/>
      <c r="J23" s="51"/>
      <c r="K23" s="52"/>
      <c r="L23" s="51"/>
      <c r="M23" s="51"/>
      <c r="N23" s="52">
        <f t="shared" si="1"/>
        <v>2500</v>
      </c>
    </row>
    <row r="24" ht="22.5" customHeight="1">
      <c r="A24" s="54" t="s">
        <v>119</v>
      </c>
      <c r="B24" s="51">
        <v>535.0</v>
      </c>
      <c r="C24" s="51">
        <v>548.0</v>
      </c>
      <c r="D24" s="51">
        <v>647.0</v>
      </c>
      <c r="E24" s="51">
        <v>573.0</v>
      </c>
      <c r="F24" s="52"/>
      <c r="G24" s="51"/>
      <c r="H24" s="51"/>
      <c r="I24" s="51"/>
      <c r="J24" s="51"/>
      <c r="K24" s="51"/>
      <c r="L24" s="51"/>
      <c r="M24" s="51"/>
      <c r="N24" s="52">
        <f t="shared" si="1"/>
        <v>2303</v>
      </c>
    </row>
    <row r="25" ht="22.5" customHeight="1">
      <c r="A25" s="54" t="s">
        <v>120</v>
      </c>
      <c r="B25" s="51">
        <f>1300+650</f>
        <v>1950</v>
      </c>
      <c r="C25" s="51">
        <f>650+1300</f>
        <v>1950</v>
      </c>
      <c r="D25" s="51">
        <f t="shared" ref="D25:E25" si="2">1300+650</f>
        <v>1950</v>
      </c>
      <c r="E25" s="51">
        <f t="shared" si="2"/>
        <v>1950</v>
      </c>
      <c r="F25" s="52">
        <f>1300+500+650+650</f>
        <v>3100</v>
      </c>
      <c r="G25" s="51"/>
      <c r="H25" s="51"/>
      <c r="I25" s="51"/>
      <c r="J25" s="51"/>
      <c r="K25" s="51"/>
      <c r="L25" s="51"/>
      <c r="M25" s="51"/>
      <c r="N25" s="52">
        <f t="shared" si="1"/>
        <v>10900</v>
      </c>
    </row>
    <row r="26" ht="22.5" customHeight="1">
      <c r="A26" s="51" t="s">
        <v>14</v>
      </c>
      <c r="B26" s="52">
        <f t="shared" ref="B26:C26" si="3">sum(B2:B25)</f>
        <v>9585</v>
      </c>
      <c r="C26" s="52">
        <f t="shared" si="3"/>
        <v>9598</v>
      </c>
      <c r="D26" s="52">
        <f>sum(D2:D24)</f>
        <v>7747</v>
      </c>
      <c r="E26" s="52">
        <f>sum(E2:E25)</f>
        <v>7123</v>
      </c>
      <c r="F26" s="52">
        <f t="shared" ref="F26:G26" si="4">sum(F2:F24)</f>
        <v>10000</v>
      </c>
      <c r="G26" s="52">
        <f t="shared" si="4"/>
        <v>0</v>
      </c>
      <c r="H26" s="52">
        <f t="shared" ref="H26:K26" si="5">SUM(H1:H24)</f>
        <v>0</v>
      </c>
      <c r="I26" s="52">
        <f t="shared" si="5"/>
        <v>0</v>
      </c>
      <c r="J26" s="52">
        <f t="shared" si="5"/>
        <v>0</v>
      </c>
      <c r="K26" s="52">
        <f t="shared" si="5"/>
        <v>0</v>
      </c>
      <c r="L26" s="52">
        <f>SUM(L2:L24)</f>
        <v>0</v>
      </c>
      <c r="M26" s="52">
        <f t="shared" ref="M26:N26" si="6">sum(M2:M24)</f>
        <v>0</v>
      </c>
      <c r="N26" s="52">
        <f t="shared" si="6"/>
        <v>38203</v>
      </c>
    </row>
    <row r="28">
      <c r="A28" s="55" t="s">
        <v>121</v>
      </c>
    </row>
    <row r="29">
      <c r="A29" s="56" t="s">
        <v>0</v>
      </c>
      <c r="B29">
        <f>SUM(N2:N23)</f>
        <v>35900</v>
      </c>
    </row>
    <row r="30">
      <c r="A30" s="56" t="s">
        <v>122</v>
      </c>
      <c r="B30">
        <f t="shared" ref="B30:B31" si="7">SUM(B24:M24)</f>
        <v>2303</v>
      </c>
    </row>
    <row r="31">
      <c r="A31" s="56" t="s">
        <v>123</v>
      </c>
      <c r="B31">
        <f t="shared" si="7"/>
        <v>10900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75"/>
    <col customWidth="1" min="2" max="3" width="8.25"/>
    <col customWidth="1" min="4" max="4" width="8.38"/>
    <col customWidth="1" min="5" max="5" width="8.13"/>
    <col customWidth="1" min="6" max="6" width="8.63"/>
    <col customWidth="1" min="7" max="7" width="8.25"/>
    <col customWidth="1" min="8" max="8" width="8.5"/>
    <col customWidth="1" min="9" max="9" width="8.38"/>
    <col customWidth="1" min="10" max="10" width="8.25"/>
    <col customWidth="1" min="11" max="11" width="8.13"/>
    <col customWidth="1" min="12" max="13" width="8.38"/>
    <col customWidth="1" min="14" max="14" width="9.25"/>
  </cols>
  <sheetData>
    <row r="1" ht="22.5" customHeight="1">
      <c r="A1" s="20" t="s">
        <v>13</v>
      </c>
      <c r="B1" s="20" t="s">
        <v>98</v>
      </c>
      <c r="C1" s="20" t="s">
        <v>99</v>
      </c>
      <c r="D1" s="20" t="s">
        <v>100</v>
      </c>
      <c r="E1" s="20" t="s">
        <v>101</v>
      </c>
      <c r="F1" s="20" t="s">
        <v>102</v>
      </c>
      <c r="G1" s="20" t="s">
        <v>103</v>
      </c>
      <c r="H1" s="20" t="s">
        <v>104</v>
      </c>
      <c r="I1" s="20" t="s">
        <v>105</v>
      </c>
      <c r="J1" s="20" t="s">
        <v>106</v>
      </c>
      <c r="K1" s="20" t="s">
        <v>107</v>
      </c>
      <c r="L1" s="20" t="s">
        <v>108</v>
      </c>
      <c r="M1" s="20" t="s">
        <v>109</v>
      </c>
      <c r="N1" s="20" t="s">
        <v>14</v>
      </c>
    </row>
    <row r="2" ht="22.5" customHeight="1">
      <c r="A2" s="50" t="s">
        <v>110</v>
      </c>
      <c r="B2" s="51">
        <v>500.0</v>
      </c>
      <c r="C2" s="51">
        <v>500.0</v>
      </c>
      <c r="D2" s="51">
        <v>500.0</v>
      </c>
      <c r="E2" s="51">
        <v>500.0</v>
      </c>
      <c r="F2" s="51">
        <v>500.0</v>
      </c>
      <c r="G2" s="51">
        <v>500.0</v>
      </c>
      <c r="H2" s="51">
        <f>500+4000</f>
        <v>4500</v>
      </c>
      <c r="I2" s="51">
        <v>500.0</v>
      </c>
      <c r="J2" s="51">
        <v>500.0</v>
      </c>
      <c r="K2" s="51">
        <v>500.0</v>
      </c>
      <c r="L2" s="51">
        <v>500.0</v>
      </c>
      <c r="M2" s="51">
        <v>500.0</v>
      </c>
      <c r="N2" s="52">
        <f t="shared" ref="N2:N24" si="1">sum(B2:M2)</f>
        <v>10000</v>
      </c>
    </row>
    <row r="3" ht="22.5" customHeight="1">
      <c r="A3" s="50" t="s">
        <v>111</v>
      </c>
      <c r="B3" s="51">
        <v>5000.0</v>
      </c>
      <c r="C3" s="51">
        <v>1000.0</v>
      </c>
      <c r="D3" s="35">
        <v>0.0</v>
      </c>
      <c r="E3" s="51">
        <v>0.0</v>
      </c>
      <c r="F3" s="51">
        <v>0.0</v>
      </c>
      <c r="G3" s="51">
        <v>0.0</v>
      </c>
      <c r="H3" s="51">
        <v>0.0</v>
      </c>
      <c r="I3" s="51"/>
      <c r="J3" s="52"/>
      <c r="K3" s="51">
        <v>10000.0</v>
      </c>
      <c r="L3" s="51"/>
      <c r="M3" s="51"/>
      <c r="N3" s="52">
        <f t="shared" si="1"/>
        <v>16000</v>
      </c>
    </row>
    <row r="4" ht="22.5" customHeight="1">
      <c r="A4" s="50" t="s">
        <v>112</v>
      </c>
      <c r="B4" s="51">
        <v>500.0</v>
      </c>
      <c r="C4" s="51">
        <v>500.0</v>
      </c>
      <c r="D4" s="51">
        <v>500.0</v>
      </c>
      <c r="E4" s="51">
        <v>500.0</v>
      </c>
      <c r="F4" s="51">
        <v>500.0</v>
      </c>
      <c r="G4" s="51">
        <v>500.0</v>
      </c>
      <c r="H4" s="51">
        <v>500.0</v>
      </c>
      <c r="I4" s="51">
        <v>500.0</v>
      </c>
      <c r="J4" s="51">
        <v>500.0</v>
      </c>
      <c r="K4" s="51">
        <v>500.0</v>
      </c>
      <c r="L4" s="51">
        <v>500.0</v>
      </c>
      <c r="M4" s="51">
        <v>500.0</v>
      </c>
      <c r="N4" s="52">
        <f t="shared" si="1"/>
        <v>6000</v>
      </c>
    </row>
    <row r="5" ht="22.5" customHeight="1">
      <c r="A5" s="50" t="s">
        <v>29</v>
      </c>
      <c r="B5" s="51">
        <v>500.0</v>
      </c>
      <c r="C5" s="51">
        <v>500.0</v>
      </c>
      <c r="D5" s="51">
        <v>500.0</v>
      </c>
      <c r="E5" s="51">
        <v>500.0</v>
      </c>
      <c r="F5" s="51">
        <v>500.0</v>
      </c>
      <c r="G5" s="35">
        <v>500.0</v>
      </c>
      <c r="H5" s="51">
        <v>500.0</v>
      </c>
      <c r="I5" s="51">
        <v>500.0</v>
      </c>
      <c r="J5" s="51">
        <v>500.0</v>
      </c>
      <c r="K5" s="51">
        <v>500.0</v>
      </c>
      <c r="L5" s="51">
        <v>500.0</v>
      </c>
      <c r="M5" s="51"/>
      <c r="N5" s="52">
        <f t="shared" si="1"/>
        <v>5500</v>
      </c>
    </row>
    <row r="6" ht="22.5" hidden="1" customHeight="1">
      <c r="A6" s="50" t="s">
        <v>30</v>
      </c>
      <c r="B6" s="51">
        <v>0.0</v>
      </c>
      <c r="C6" s="51">
        <v>0.0</v>
      </c>
      <c r="D6" s="51"/>
      <c r="E6" s="51"/>
      <c r="F6" s="51"/>
      <c r="G6" s="51"/>
      <c r="H6" s="51"/>
      <c r="I6" s="51"/>
      <c r="J6" s="51"/>
      <c r="K6" s="51"/>
      <c r="L6" s="51"/>
      <c r="M6" s="51"/>
      <c r="N6" s="52">
        <f t="shared" si="1"/>
        <v>0</v>
      </c>
    </row>
    <row r="7" ht="22.5" hidden="1" customHeight="1">
      <c r="A7" s="50" t="s">
        <v>31</v>
      </c>
      <c r="B7" s="51">
        <v>0.0</v>
      </c>
      <c r="C7" s="51">
        <v>0.0</v>
      </c>
      <c r="D7" s="51">
        <v>0.0</v>
      </c>
      <c r="E7" s="51">
        <v>0.0</v>
      </c>
      <c r="F7" s="51">
        <v>0.0</v>
      </c>
      <c r="G7" s="51">
        <v>0.0</v>
      </c>
      <c r="H7" s="51">
        <v>0.0</v>
      </c>
      <c r="I7" s="51"/>
      <c r="J7" s="51"/>
      <c r="K7" s="51"/>
      <c r="L7" s="51"/>
      <c r="M7" s="51"/>
      <c r="N7" s="52">
        <f t="shared" si="1"/>
        <v>0</v>
      </c>
    </row>
    <row r="8" ht="22.5" customHeight="1">
      <c r="A8" s="50" t="s">
        <v>113</v>
      </c>
      <c r="B8" s="51">
        <v>500.0</v>
      </c>
      <c r="C8" s="51">
        <v>1000.0</v>
      </c>
      <c r="D8" s="51">
        <v>500.0</v>
      </c>
      <c r="E8" s="51">
        <v>600.0</v>
      </c>
      <c r="F8" s="51">
        <v>600.0</v>
      </c>
      <c r="G8" s="51">
        <v>500.0</v>
      </c>
      <c r="H8" s="51">
        <v>500.0</v>
      </c>
      <c r="I8" s="57">
        <v>750.0</v>
      </c>
      <c r="J8" s="57">
        <v>750.0</v>
      </c>
      <c r="K8" s="35">
        <v>750.0</v>
      </c>
      <c r="L8" s="51"/>
      <c r="M8" s="51">
        <v>500.0</v>
      </c>
      <c r="N8" s="52">
        <f t="shared" si="1"/>
        <v>6950</v>
      </c>
    </row>
    <row r="9" ht="22.5" customHeight="1">
      <c r="A9" s="50" t="s">
        <v>114</v>
      </c>
      <c r="B9" s="51">
        <v>0.0</v>
      </c>
      <c r="C9" s="51">
        <v>0.0</v>
      </c>
      <c r="D9" s="51">
        <v>0.0</v>
      </c>
      <c r="E9" s="51">
        <v>0.0</v>
      </c>
      <c r="F9" s="51">
        <v>500.0</v>
      </c>
      <c r="G9" s="35">
        <v>0.0</v>
      </c>
      <c r="H9" s="51">
        <v>500.0</v>
      </c>
      <c r="I9" s="51">
        <v>0.0</v>
      </c>
      <c r="J9" s="51">
        <v>0.0</v>
      </c>
      <c r="K9" s="51"/>
      <c r="L9" s="52"/>
      <c r="M9" s="51"/>
      <c r="N9" s="52">
        <f t="shared" si="1"/>
        <v>1000</v>
      </c>
    </row>
    <row r="10" ht="22.5" hidden="1" customHeight="1">
      <c r="A10" s="50" t="s">
        <v>115</v>
      </c>
      <c r="B10" s="51">
        <v>0.0</v>
      </c>
      <c r="C10" s="51">
        <v>0.0</v>
      </c>
      <c r="D10" s="51">
        <v>0.0</v>
      </c>
      <c r="E10" s="51">
        <v>0.0</v>
      </c>
      <c r="F10" s="51">
        <v>0.0</v>
      </c>
      <c r="G10" s="51">
        <v>0.0</v>
      </c>
      <c r="H10" s="51">
        <v>0.0</v>
      </c>
      <c r="I10" s="52"/>
      <c r="J10" s="52"/>
      <c r="K10" s="52"/>
      <c r="L10" s="52"/>
      <c r="M10" s="52"/>
      <c r="N10" s="52">
        <f t="shared" si="1"/>
        <v>0</v>
      </c>
    </row>
    <row r="11" ht="22.5" customHeight="1">
      <c r="A11" s="50" t="s">
        <v>35</v>
      </c>
      <c r="B11" s="51">
        <v>500.0</v>
      </c>
      <c r="C11" s="51">
        <v>500.0</v>
      </c>
      <c r="D11" s="51">
        <v>500.0</v>
      </c>
      <c r="E11" s="51">
        <v>500.0</v>
      </c>
      <c r="F11" s="51">
        <v>500.0</v>
      </c>
      <c r="G11" s="51">
        <v>500.0</v>
      </c>
      <c r="H11" s="51">
        <v>500.0</v>
      </c>
      <c r="I11" s="51">
        <v>500.0</v>
      </c>
      <c r="J11" s="51">
        <v>500.0</v>
      </c>
      <c r="K11" s="51">
        <v>500.0</v>
      </c>
      <c r="L11" s="51">
        <v>500.0</v>
      </c>
      <c r="M11" s="51">
        <v>500.0</v>
      </c>
      <c r="N11" s="52">
        <f t="shared" si="1"/>
        <v>6000</v>
      </c>
    </row>
    <row r="12" ht="22.5" customHeight="1">
      <c r="A12" s="50" t="s">
        <v>116</v>
      </c>
      <c r="B12" s="51">
        <v>500.0</v>
      </c>
      <c r="C12" s="51">
        <v>500.0</v>
      </c>
      <c r="D12" s="51">
        <v>500.0</v>
      </c>
      <c r="E12" s="51">
        <v>500.0</v>
      </c>
      <c r="F12" s="51">
        <v>750.0</v>
      </c>
      <c r="G12" s="51">
        <v>770.0</v>
      </c>
      <c r="H12" s="51">
        <v>770.0</v>
      </c>
      <c r="I12" s="51">
        <v>770.0</v>
      </c>
      <c r="J12" s="51">
        <v>750.0</v>
      </c>
      <c r="K12" s="53">
        <v>750.0</v>
      </c>
      <c r="L12" s="51"/>
      <c r="M12" s="51">
        <v>750.0</v>
      </c>
      <c r="N12" s="52">
        <f t="shared" si="1"/>
        <v>7310</v>
      </c>
    </row>
    <row r="13" ht="22.5" customHeight="1">
      <c r="A13" s="50" t="s">
        <v>37</v>
      </c>
      <c r="B13" s="51">
        <v>500.0</v>
      </c>
      <c r="C13" s="51">
        <v>500.0</v>
      </c>
      <c r="D13" s="51">
        <v>500.0</v>
      </c>
      <c r="E13" s="51">
        <v>500.0</v>
      </c>
      <c r="F13" s="51">
        <v>0.0</v>
      </c>
      <c r="G13" s="35">
        <v>1000.0</v>
      </c>
      <c r="H13" s="51">
        <v>500.0</v>
      </c>
      <c r="I13" s="57">
        <v>1500.0</v>
      </c>
      <c r="J13" s="53">
        <v>500.0</v>
      </c>
      <c r="K13" s="51">
        <f>1+1000</f>
        <v>1001</v>
      </c>
      <c r="L13" s="51">
        <v>1000.0</v>
      </c>
      <c r="M13" s="51"/>
      <c r="N13" s="52">
        <f t="shared" si="1"/>
        <v>7501</v>
      </c>
    </row>
    <row r="14" ht="22.5" customHeight="1">
      <c r="A14" s="50" t="s">
        <v>38</v>
      </c>
      <c r="B14" s="51">
        <v>500.0</v>
      </c>
      <c r="C14" s="51">
        <v>500.0</v>
      </c>
      <c r="D14" s="51">
        <v>500.0</v>
      </c>
      <c r="E14" s="51">
        <v>500.0</v>
      </c>
      <c r="F14" s="51">
        <v>500.0</v>
      </c>
      <c r="G14" s="51">
        <v>500.0</v>
      </c>
      <c r="H14" s="51">
        <v>500.0</v>
      </c>
      <c r="I14" s="51">
        <v>500.0</v>
      </c>
      <c r="J14" s="51">
        <v>500.0</v>
      </c>
      <c r="K14" s="51">
        <v>500.0</v>
      </c>
      <c r="L14" s="51">
        <v>500.0</v>
      </c>
      <c r="M14" s="51">
        <v>500.0</v>
      </c>
      <c r="N14" s="52">
        <f t="shared" si="1"/>
        <v>6000</v>
      </c>
    </row>
    <row r="15" ht="22.5" hidden="1" customHeight="1">
      <c r="A15" s="50" t="s">
        <v>39</v>
      </c>
      <c r="B15" s="51">
        <v>0.0</v>
      </c>
      <c r="C15" s="51">
        <v>0.0</v>
      </c>
      <c r="D15" s="51">
        <v>0.0</v>
      </c>
      <c r="E15" s="51">
        <v>0.0</v>
      </c>
      <c r="F15" s="51">
        <v>0.0</v>
      </c>
      <c r="G15" s="51">
        <v>0.0</v>
      </c>
      <c r="H15" s="51">
        <v>0.0</v>
      </c>
      <c r="I15" s="52"/>
      <c r="J15" s="52"/>
      <c r="K15" s="52"/>
      <c r="L15" s="52"/>
      <c r="M15" s="52"/>
      <c r="N15" s="52">
        <f t="shared" si="1"/>
        <v>0</v>
      </c>
    </row>
    <row r="16" ht="22.5" customHeight="1">
      <c r="A16" s="50" t="s">
        <v>40</v>
      </c>
      <c r="B16" s="51">
        <v>500.0</v>
      </c>
      <c r="C16" s="51">
        <v>500.0</v>
      </c>
      <c r="D16" s="51">
        <v>500.0</v>
      </c>
      <c r="E16" s="51">
        <v>500.0</v>
      </c>
      <c r="F16" s="51">
        <v>500.0</v>
      </c>
      <c r="G16" s="35">
        <v>500.0</v>
      </c>
      <c r="H16" s="51">
        <v>500.0</v>
      </c>
      <c r="I16" s="51"/>
      <c r="J16" s="51">
        <v>500.0</v>
      </c>
      <c r="K16" s="51">
        <v>500.0</v>
      </c>
      <c r="L16" s="51">
        <v>500.0</v>
      </c>
      <c r="M16" s="51">
        <v>1000.0</v>
      </c>
      <c r="N16" s="52">
        <f t="shared" si="1"/>
        <v>6000</v>
      </c>
    </row>
    <row r="17" ht="22.5" hidden="1" customHeight="1">
      <c r="A17" s="50" t="s">
        <v>117</v>
      </c>
      <c r="B17" s="51">
        <v>0.0</v>
      </c>
      <c r="C17" s="51">
        <v>0.0</v>
      </c>
      <c r="D17" s="51">
        <v>0.0</v>
      </c>
      <c r="E17" s="51">
        <v>0.0</v>
      </c>
      <c r="F17" s="51">
        <v>0.0</v>
      </c>
      <c r="G17" s="51">
        <v>0.0</v>
      </c>
      <c r="H17" s="51">
        <v>0.0</v>
      </c>
      <c r="I17" s="51"/>
      <c r="J17" s="51"/>
      <c r="K17" s="51"/>
      <c r="L17" s="51"/>
      <c r="M17" s="51"/>
      <c r="N17" s="52">
        <f t="shared" si="1"/>
        <v>0</v>
      </c>
    </row>
    <row r="18" ht="22.5" customHeight="1">
      <c r="A18" s="50" t="s">
        <v>42</v>
      </c>
      <c r="B18" s="51">
        <v>500.0</v>
      </c>
      <c r="C18" s="51">
        <v>500.0</v>
      </c>
      <c r="D18" s="51"/>
      <c r="E18" s="51">
        <v>500.0</v>
      </c>
      <c r="F18" s="51">
        <v>500.0</v>
      </c>
      <c r="G18" s="51">
        <v>500.0</v>
      </c>
      <c r="H18" s="51">
        <v>500.0</v>
      </c>
      <c r="I18" s="51"/>
      <c r="J18" s="51">
        <v>500.0</v>
      </c>
      <c r="K18" s="35">
        <v>500.0</v>
      </c>
      <c r="L18" s="51">
        <v>500.0</v>
      </c>
      <c r="M18" s="51">
        <v>500.0</v>
      </c>
      <c r="N18" s="52">
        <f t="shared" si="1"/>
        <v>5000</v>
      </c>
    </row>
    <row r="19" ht="22.5" customHeight="1">
      <c r="A19" s="50" t="s">
        <v>118</v>
      </c>
      <c r="B19" s="51">
        <v>0.0</v>
      </c>
      <c r="C19" s="51">
        <v>0.0</v>
      </c>
      <c r="D19" s="51">
        <v>0.0</v>
      </c>
      <c r="E19" s="51">
        <v>0.0</v>
      </c>
      <c r="F19" s="51">
        <v>5000.0</v>
      </c>
      <c r="G19" s="51">
        <v>0.0</v>
      </c>
      <c r="H19" s="51">
        <v>0.0</v>
      </c>
      <c r="I19" s="52"/>
      <c r="J19" s="51"/>
      <c r="K19" s="51"/>
      <c r="L19" s="52"/>
      <c r="M19" s="51"/>
      <c r="N19" s="52">
        <f t="shared" si="1"/>
        <v>5000</v>
      </c>
    </row>
    <row r="20" ht="22.5" customHeight="1">
      <c r="A20" s="22" t="s">
        <v>44</v>
      </c>
      <c r="B20" s="51">
        <v>500.0</v>
      </c>
      <c r="C20" s="51">
        <v>500.0</v>
      </c>
      <c r="D20" s="51">
        <v>500.0</v>
      </c>
      <c r="E20" s="51">
        <v>500.0</v>
      </c>
      <c r="F20" s="51">
        <v>500.0</v>
      </c>
      <c r="G20" s="51">
        <v>0.0</v>
      </c>
      <c r="H20" s="51">
        <v>500.0</v>
      </c>
      <c r="I20" s="51"/>
      <c r="J20" s="51"/>
      <c r="K20" s="51"/>
      <c r="L20" s="51">
        <v>600.0</v>
      </c>
      <c r="M20" s="51">
        <v>600.0</v>
      </c>
      <c r="N20" s="52">
        <f t="shared" si="1"/>
        <v>4200</v>
      </c>
    </row>
    <row r="21" ht="22.5" hidden="1" customHeight="1">
      <c r="A21" s="22" t="s">
        <v>45</v>
      </c>
      <c r="B21" s="51">
        <v>0.0</v>
      </c>
      <c r="C21" s="51">
        <v>0.0</v>
      </c>
      <c r="D21" s="51">
        <v>0.0</v>
      </c>
      <c r="E21" s="51">
        <v>0.0</v>
      </c>
      <c r="F21" s="51">
        <v>0.0</v>
      </c>
      <c r="G21" s="51">
        <v>0.0</v>
      </c>
      <c r="H21" s="51">
        <v>0.0</v>
      </c>
      <c r="I21" s="52"/>
      <c r="J21" s="52"/>
      <c r="K21" s="52"/>
      <c r="L21" s="52"/>
      <c r="M21" s="52"/>
      <c r="N21" s="52">
        <f t="shared" si="1"/>
        <v>0</v>
      </c>
    </row>
    <row r="22" ht="22.5" customHeight="1">
      <c r="A22" s="22" t="s">
        <v>46</v>
      </c>
      <c r="B22" s="51">
        <v>1000.0</v>
      </c>
      <c r="C22" s="51">
        <v>1000.0</v>
      </c>
      <c r="D22" s="51">
        <v>500.0</v>
      </c>
      <c r="E22" s="51">
        <v>600.0</v>
      </c>
      <c r="F22" s="51">
        <v>0.0</v>
      </c>
      <c r="G22" s="51">
        <v>0.0</v>
      </c>
      <c r="H22" s="51">
        <v>1800.0</v>
      </c>
      <c r="I22" s="51">
        <v>500.0</v>
      </c>
      <c r="J22" s="51">
        <v>500.0</v>
      </c>
      <c r="K22" s="51">
        <v>500.0</v>
      </c>
      <c r="L22" s="51">
        <v>500.0</v>
      </c>
      <c r="M22" s="51">
        <v>500.0</v>
      </c>
      <c r="N22" s="52">
        <f t="shared" si="1"/>
        <v>7400</v>
      </c>
    </row>
    <row r="23" ht="22.5" customHeight="1">
      <c r="A23" s="22" t="s">
        <v>47</v>
      </c>
      <c r="B23" s="51">
        <v>500.0</v>
      </c>
      <c r="C23" s="51">
        <v>500.0</v>
      </c>
      <c r="D23" s="51">
        <v>500.0</v>
      </c>
      <c r="E23" s="51">
        <v>500.0</v>
      </c>
      <c r="F23" s="51">
        <v>500.0</v>
      </c>
      <c r="G23" s="35">
        <v>500.0</v>
      </c>
      <c r="H23" s="51">
        <v>500.0</v>
      </c>
      <c r="I23" s="51"/>
      <c r="J23" s="51">
        <v>500.0</v>
      </c>
      <c r="K23" s="52">
        <f>500+1</f>
        <v>501</v>
      </c>
      <c r="L23" s="51">
        <v>500.0</v>
      </c>
      <c r="M23" s="51"/>
      <c r="N23" s="52">
        <f t="shared" si="1"/>
        <v>5001</v>
      </c>
    </row>
    <row r="24" ht="22.5" customHeight="1">
      <c r="A24" s="54" t="s">
        <v>124</v>
      </c>
      <c r="B24" s="51">
        <v>600.0</v>
      </c>
      <c r="C24" s="51">
        <f>600+600</f>
        <v>1200</v>
      </c>
      <c r="D24" s="51">
        <v>600.0</v>
      </c>
      <c r="E24" s="52"/>
      <c r="F24" s="52"/>
      <c r="G24" s="51">
        <v>1300.0</v>
      </c>
      <c r="H24" s="51">
        <v>1300.0</v>
      </c>
      <c r="I24" s="51">
        <v>1300.0</v>
      </c>
      <c r="J24" s="51">
        <v>1300.0</v>
      </c>
      <c r="K24" s="51">
        <f>1350+1300</f>
        <v>2650</v>
      </c>
      <c r="L24" s="51">
        <f>800</f>
        <v>800</v>
      </c>
      <c r="M24" s="51">
        <f>90+650+1300+174</f>
        <v>2214</v>
      </c>
      <c r="N24" s="52">
        <f t="shared" si="1"/>
        <v>13264</v>
      </c>
    </row>
    <row r="25" ht="22.5" customHeight="1">
      <c r="A25" s="51" t="s">
        <v>14</v>
      </c>
      <c r="B25" s="52">
        <f t="shared" ref="B25:G25" si="2">sum(B2:B24)</f>
        <v>12600</v>
      </c>
      <c r="C25" s="52">
        <f t="shared" si="2"/>
        <v>9700</v>
      </c>
      <c r="D25" s="52">
        <f t="shared" si="2"/>
        <v>6600</v>
      </c>
      <c r="E25" s="52">
        <f t="shared" si="2"/>
        <v>6700</v>
      </c>
      <c r="F25" s="52">
        <f t="shared" si="2"/>
        <v>11350</v>
      </c>
      <c r="G25" s="52">
        <f t="shared" si="2"/>
        <v>7570</v>
      </c>
      <c r="H25" s="52">
        <f t="shared" ref="H25:K25" si="3">SUM(H1:H24)</f>
        <v>13870</v>
      </c>
      <c r="I25" s="52">
        <f t="shared" si="3"/>
        <v>7320</v>
      </c>
      <c r="J25" s="52">
        <f t="shared" si="3"/>
        <v>7800</v>
      </c>
      <c r="K25" s="52">
        <f t="shared" si="3"/>
        <v>19652</v>
      </c>
      <c r="L25" s="52">
        <f>SUM(L2:L24)</f>
        <v>6900</v>
      </c>
      <c r="M25" s="52">
        <f t="shared" ref="M25:N25" si="4">sum(M2:M24)</f>
        <v>8064</v>
      </c>
      <c r="N25" s="52">
        <f t="shared" si="4"/>
        <v>118126</v>
      </c>
    </row>
  </sheetData>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13"/>
    <col customWidth="1" min="2" max="3" width="8.25"/>
    <col customWidth="1" min="4" max="4" width="8.38"/>
    <col customWidth="1" min="5" max="5" width="8.13"/>
    <col customWidth="1" min="6" max="6" width="8.63"/>
    <col customWidth="1" min="7" max="7" width="8.25"/>
    <col customWidth="1" min="8" max="8" width="8.5"/>
    <col customWidth="1" min="9" max="9" width="8.38"/>
    <col customWidth="1" min="10" max="10" width="8.25"/>
    <col customWidth="1" min="11" max="11" width="8.13"/>
    <col customWidth="1" min="12" max="13" width="8.38"/>
    <col customWidth="1" min="14" max="14" width="9.25"/>
    <col customWidth="1" min="15" max="26" width="25.88"/>
  </cols>
  <sheetData>
    <row r="1" ht="22.5" customHeight="1">
      <c r="A1" s="20" t="s">
        <v>13</v>
      </c>
      <c r="B1" s="20" t="s">
        <v>98</v>
      </c>
      <c r="C1" s="20" t="s">
        <v>99</v>
      </c>
      <c r="D1" s="20" t="s">
        <v>100</v>
      </c>
      <c r="E1" s="20" t="s">
        <v>101</v>
      </c>
      <c r="F1" s="20" t="s">
        <v>102</v>
      </c>
      <c r="G1" s="20" t="s">
        <v>103</v>
      </c>
      <c r="H1" s="20" t="s">
        <v>104</v>
      </c>
      <c r="I1" s="20" t="s">
        <v>105</v>
      </c>
      <c r="J1" s="20" t="s">
        <v>106</v>
      </c>
      <c r="K1" s="20" t="s">
        <v>107</v>
      </c>
      <c r="L1" s="20" t="s">
        <v>108</v>
      </c>
      <c r="M1" s="20" t="s">
        <v>109</v>
      </c>
      <c r="N1" s="20" t="s">
        <v>14</v>
      </c>
    </row>
    <row r="2" ht="22.5" customHeight="1">
      <c r="A2" s="50" t="s">
        <v>110</v>
      </c>
      <c r="B2" s="51">
        <v>500.0</v>
      </c>
      <c r="C2" s="51">
        <v>500.0</v>
      </c>
      <c r="D2" s="51">
        <v>500.0</v>
      </c>
      <c r="E2" s="51">
        <v>500.0</v>
      </c>
      <c r="F2" s="51">
        <v>500.0</v>
      </c>
      <c r="G2" s="51">
        <v>500.0</v>
      </c>
      <c r="H2" s="51">
        <v>500.0</v>
      </c>
      <c r="I2" s="51">
        <v>500.0</v>
      </c>
      <c r="J2" s="51">
        <v>500.0</v>
      </c>
      <c r="K2" s="51">
        <v>500.0</v>
      </c>
      <c r="L2" s="51">
        <v>500.0</v>
      </c>
      <c r="M2" s="51">
        <v>500.0</v>
      </c>
      <c r="N2" s="52">
        <f t="shared" ref="N2:N24" si="1">sum(B2:M2)</f>
        <v>6000</v>
      </c>
    </row>
    <row r="3" ht="22.5" customHeight="1">
      <c r="A3" s="50" t="s">
        <v>111</v>
      </c>
      <c r="B3" s="51"/>
      <c r="C3" s="51"/>
      <c r="D3" s="51"/>
      <c r="E3" s="52"/>
      <c r="F3" s="51">
        <v>1000.0</v>
      </c>
      <c r="G3" s="51"/>
      <c r="H3" s="51"/>
      <c r="I3" s="51"/>
      <c r="J3" s="52"/>
      <c r="K3" s="51"/>
      <c r="L3" s="52"/>
      <c r="M3" s="51"/>
      <c r="N3" s="52">
        <f t="shared" si="1"/>
        <v>1000</v>
      </c>
    </row>
    <row r="4" ht="22.5" customHeight="1">
      <c r="A4" s="50" t="s">
        <v>112</v>
      </c>
      <c r="B4" s="51">
        <v>500.0</v>
      </c>
      <c r="C4" s="51">
        <v>500.0</v>
      </c>
      <c r="D4" s="51">
        <v>500.0</v>
      </c>
      <c r="E4" s="51">
        <v>500.0</v>
      </c>
      <c r="F4" s="51">
        <v>500.0</v>
      </c>
      <c r="G4" s="51">
        <v>500.0</v>
      </c>
      <c r="H4" s="51">
        <v>500.0</v>
      </c>
      <c r="I4" s="51">
        <v>500.0</v>
      </c>
      <c r="J4" s="51">
        <v>500.0</v>
      </c>
      <c r="K4" s="51">
        <v>500.0</v>
      </c>
      <c r="L4" s="51">
        <v>500.0</v>
      </c>
      <c r="M4" s="51">
        <v>500.0</v>
      </c>
      <c r="N4" s="52">
        <f t="shared" si="1"/>
        <v>6000</v>
      </c>
    </row>
    <row r="5" ht="22.5" customHeight="1">
      <c r="A5" s="50" t="s">
        <v>29</v>
      </c>
      <c r="B5" s="51">
        <v>500.0</v>
      </c>
      <c r="C5" s="51">
        <v>500.0</v>
      </c>
      <c r="D5" s="51">
        <v>500.0</v>
      </c>
      <c r="E5" s="51">
        <v>500.0</v>
      </c>
      <c r="F5" s="51">
        <v>500.0</v>
      </c>
      <c r="G5" s="51">
        <v>500.0</v>
      </c>
      <c r="H5" s="51">
        <v>500.0</v>
      </c>
      <c r="I5" s="51"/>
      <c r="J5" s="51">
        <v>500.0</v>
      </c>
      <c r="K5" s="51">
        <v>500.0</v>
      </c>
      <c r="L5" s="51">
        <v>500.0</v>
      </c>
      <c r="M5" s="51">
        <v>500.0</v>
      </c>
      <c r="N5" s="52">
        <f t="shared" si="1"/>
        <v>5500</v>
      </c>
    </row>
    <row r="6" ht="22.5" customHeight="1">
      <c r="A6" s="50" t="s">
        <v>30</v>
      </c>
      <c r="B6" s="52"/>
      <c r="C6" s="51"/>
      <c r="D6" s="51"/>
      <c r="E6" s="52"/>
      <c r="F6" s="52"/>
      <c r="G6" s="51"/>
      <c r="H6" s="52"/>
      <c r="I6" s="52"/>
      <c r="J6" s="52"/>
      <c r="K6" s="51"/>
      <c r="L6" s="52"/>
      <c r="M6" s="52"/>
      <c r="N6" s="52">
        <f t="shared" si="1"/>
        <v>0</v>
      </c>
    </row>
    <row r="7" ht="22.5" customHeight="1">
      <c r="A7" s="50" t="s">
        <v>125</v>
      </c>
      <c r="B7" s="52"/>
      <c r="C7" s="52"/>
      <c r="D7" s="52"/>
      <c r="E7" s="52"/>
      <c r="F7" s="52"/>
      <c r="G7" s="52"/>
      <c r="H7" s="52"/>
      <c r="I7" s="52"/>
      <c r="J7" s="52"/>
      <c r="K7" s="52"/>
      <c r="L7" s="52"/>
      <c r="M7" s="52"/>
      <c r="N7" s="52">
        <f t="shared" si="1"/>
        <v>0</v>
      </c>
    </row>
    <row r="8" ht="22.5" customHeight="1">
      <c r="A8" s="50" t="s">
        <v>113</v>
      </c>
      <c r="B8" s="51"/>
      <c r="C8" s="51">
        <v>1000.0</v>
      </c>
      <c r="D8" s="51">
        <v>1000.0</v>
      </c>
      <c r="E8" s="51"/>
      <c r="F8" s="51"/>
      <c r="G8" s="51">
        <v>1000.0</v>
      </c>
      <c r="H8" s="51"/>
      <c r="I8" s="51">
        <v>500.0</v>
      </c>
      <c r="J8" s="51"/>
      <c r="K8" s="51"/>
      <c r="L8" s="51"/>
      <c r="M8" s="51"/>
      <c r="N8" s="52">
        <f t="shared" si="1"/>
        <v>3500</v>
      </c>
    </row>
    <row r="9" ht="22.5" customHeight="1">
      <c r="A9" s="50" t="s">
        <v>114</v>
      </c>
      <c r="B9" s="51"/>
      <c r="C9" s="51"/>
      <c r="D9" s="51"/>
      <c r="E9" s="52"/>
      <c r="F9" s="51"/>
      <c r="G9" s="52"/>
      <c r="H9" s="51"/>
      <c r="I9" s="51"/>
      <c r="J9" s="52"/>
      <c r="K9" s="51"/>
      <c r="L9" s="52"/>
      <c r="M9" s="51"/>
      <c r="N9" s="52">
        <f t="shared" si="1"/>
        <v>0</v>
      </c>
    </row>
    <row r="10" ht="22.5" customHeight="1">
      <c r="A10" s="50" t="s">
        <v>115</v>
      </c>
      <c r="B10" s="52"/>
      <c r="C10" s="52"/>
      <c r="D10" s="52"/>
      <c r="E10" s="52"/>
      <c r="F10" s="52"/>
      <c r="G10" s="52"/>
      <c r="H10" s="52"/>
      <c r="I10" s="52"/>
      <c r="J10" s="52"/>
      <c r="K10" s="52"/>
      <c r="L10" s="52"/>
      <c r="M10" s="52"/>
      <c r="N10" s="52">
        <f t="shared" si="1"/>
        <v>0</v>
      </c>
    </row>
    <row r="11" ht="22.5" customHeight="1">
      <c r="A11" s="50" t="s">
        <v>35</v>
      </c>
      <c r="B11" s="51">
        <v>500.0</v>
      </c>
      <c r="C11" s="51">
        <v>500.0</v>
      </c>
      <c r="D11" s="51">
        <v>500.0</v>
      </c>
      <c r="E11" s="51">
        <v>500.0</v>
      </c>
      <c r="F11" s="51">
        <v>500.0</v>
      </c>
      <c r="G11" s="51">
        <v>500.0</v>
      </c>
      <c r="H11" s="51">
        <v>500.0</v>
      </c>
      <c r="I11" s="51">
        <v>500.0</v>
      </c>
      <c r="J11" s="51">
        <v>500.0</v>
      </c>
      <c r="K11" s="51">
        <v>500.0</v>
      </c>
      <c r="L11" s="51">
        <v>500.0</v>
      </c>
      <c r="M11" s="51">
        <v>500.0</v>
      </c>
      <c r="N11" s="52">
        <f t="shared" si="1"/>
        <v>6000</v>
      </c>
    </row>
    <row r="12" ht="22.5" customHeight="1">
      <c r="A12" s="50" t="s">
        <v>126</v>
      </c>
      <c r="B12" s="51">
        <v>500.0</v>
      </c>
      <c r="C12" s="51">
        <v>500.0</v>
      </c>
      <c r="D12" s="51">
        <v>500.0</v>
      </c>
      <c r="E12" s="51"/>
      <c r="F12" s="51">
        <v>500.0</v>
      </c>
      <c r="G12" s="51"/>
      <c r="H12" s="51">
        <v>500.0</v>
      </c>
      <c r="I12" s="51">
        <v>500.0</v>
      </c>
      <c r="J12" s="51">
        <v>500.0</v>
      </c>
      <c r="K12" s="51">
        <v>500.0</v>
      </c>
      <c r="L12" s="51">
        <v>500.0</v>
      </c>
      <c r="M12" s="51">
        <v>500.0</v>
      </c>
      <c r="N12" s="52">
        <f t="shared" si="1"/>
        <v>5000</v>
      </c>
    </row>
    <row r="13" ht="22.5" customHeight="1">
      <c r="A13" s="50" t="s">
        <v>37</v>
      </c>
      <c r="B13" s="52"/>
      <c r="C13" s="51">
        <v>500.0</v>
      </c>
      <c r="D13" s="51">
        <v>500.0</v>
      </c>
      <c r="E13" s="52"/>
      <c r="F13" s="52"/>
      <c r="G13" s="51">
        <v>3300.0</v>
      </c>
      <c r="H13" s="51"/>
      <c r="I13" s="51">
        <v>500.0</v>
      </c>
      <c r="J13" s="51"/>
      <c r="K13" s="51">
        <v>500.0</v>
      </c>
      <c r="L13" s="51">
        <v>500.0</v>
      </c>
      <c r="M13" s="51">
        <v>500.0</v>
      </c>
      <c r="N13" s="52">
        <f t="shared" si="1"/>
        <v>6300</v>
      </c>
    </row>
    <row r="14" ht="22.5" customHeight="1">
      <c r="A14" s="50" t="s">
        <v>38</v>
      </c>
      <c r="B14" s="51">
        <v>500.0</v>
      </c>
      <c r="C14" s="51">
        <v>500.0</v>
      </c>
      <c r="D14" s="51">
        <v>500.0</v>
      </c>
      <c r="E14" s="51">
        <v>500.0</v>
      </c>
      <c r="F14" s="51">
        <v>500.0</v>
      </c>
      <c r="G14" s="51">
        <v>500.0</v>
      </c>
      <c r="H14" s="51">
        <v>500.0</v>
      </c>
      <c r="I14" s="51">
        <v>500.0</v>
      </c>
      <c r="J14" s="51">
        <v>500.0</v>
      </c>
      <c r="K14" s="51">
        <v>500.0</v>
      </c>
      <c r="L14" s="51">
        <v>500.0</v>
      </c>
      <c r="M14" s="51">
        <v>500.0</v>
      </c>
      <c r="N14" s="52">
        <f t="shared" si="1"/>
        <v>6000</v>
      </c>
    </row>
    <row r="15" ht="22.5" customHeight="1">
      <c r="A15" s="50" t="s">
        <v>39</v>
      </c>
      <c r="B15" s="52"/>
      <c r="C15" s="52"/>
      <c r="D15" s="52"/>
      <c r="E15" s="52"/>
      <c r="F15" s="52"/>
      <c r="G15" s="52"/>
      <c r="H15" s="52"/>
      <c r="I15" s="52"/>
      <c r="J15" s="52"/>
      <c r="K15" s="52"/>
      <c r="L15" s="52"/>
      <c r="M15" s="52"/>
      <c r="N15" s="52">
        <f t="shared" si="1"/>
        <v>0</v>
      </c>
    </row>
    <row r="16" ht="22.5" customHeight="1">
      <c r="A16" s="50" t="s">
        <v>40</v>
      </c>
      <c r="B16" s="51"/>
      <c r="C16" s="51"/>
      <c r="D16" s="51">
        <v>500.0</v>
      </c>
      <c r="E16" s="51"/>
      <c r="F16" s="51">
        <v>500.0</v>
      </c>
      <c r="G16" s="51">
        <v>500.0</v>
      </c>
      <c r="H16" s="51"/>
      <c r="I16" s="51">
        <v>500.0</v>
      </c>
      <c r="J16" s="51">
        <v>500.0</v>
      </c>
      <c r="K16" s="51">
        <v>500.0</v>
      </c>
      <c r="L16" s="51">
        <v>500.0</v>
      </c>
      <c r="M16" s="51">
        <v>500.0</v>
      </c>
      <c r="N16" s="52">
        <f t="shared" si="1"/>
        <v>4000</v>
      </c>
    </row>
    <row r="17" ht="22.5" customHeight="1">
      <c r="A17" s="50" t="s">
        <v>127</v>
      </c>
      <c r="B17" s="52"/>
      <c r="C17" s="52"/>
      <c r="D17" s="51"/>
      <c r="E17" s="51"/>
      <c r="F17" s="52"/>
      <c r="G17" s="52"/>
      <c r="H17" s="52"/>
      <c r="I17" s="52"/>
      <c r="J17" s="52"/>
      <c r="K17" s="52"/>
      <c r="L17" s="52"/>
      <c r="M17" s="52"/>
      <c r="N17" s="52">
        <f t="shared" si="1"/>
        <v>0</v>
      </c>
    </row>
    <row r="18" ht="22.5" customHeight="1">
      <c r="A18" s="50" t="s">
        <v>42</v>
      </c>
      <c r="B18" s="51">
        <v>500.0</v>
      </c>
      <c r="C18" s="51"/>
      <c r="D18" s="51">
        <v>500.0</v>
      </c>
      <c r="E18" s="51"/>
      <c r="F18" s="51">
        <v>500.0</v>
      </c>
      <c r="G18" s="51">
        <v>500.0</v>
      </c>
      <c r="H18" s="51">
        <v>500.0</v>
      </c>
      <c r="I18" s="51">
        <v>500.0</v>
      </c>
      <c r="J18" s="51"/>
      <c r="K18" s="51"/>
      <c r="L18" s="51">
        <v>500.0</v>
      </c>
      <c r="M18" s="51">
        <v>500.0</v>
      </c>
      <c r="N18" s="52">
        <f t="shared" si="1"/>
        <v>4000</v>
      </c>
    </row>
    <row r="19" ht="22.5" customHeight="1">
      <c r="A19" s="50" t="s">
        <v>118</v>
      </c>
      <c r="B19" s="51"/>
      <c r="C19" s="51"/>
      <c r="D19" s="52"/>
      <c r="E19" s="51"/>
      <c r="F19" s="51"/>
      <c r="G19" s="51"/>
      <c r="H19" s="52"/>
      <c r="I19" s="52"/>
      <c r="J19" s="51"/>
      <c r="K19" s="51"/>
      <c r="L19" s="52"/>
      <c r="M19" s="51">
        <v>1000.0</v>
      </c>
      <c r="N19" s="52">
        <f t="shared" si="1"/>
        <v>1000</v>
      </c>
    </row>
    <row r="20" ht="22.5" customHeight="1">
      <c r="A20" s="22" t="s">
        <v>44</v>
      </c>
      <c r="B20" s="51">
        <v>500.0</v>
      </c>
      <c r="C20" s="51"/>
      <c r="D20" s="51">
        <v>500.0</v>
      </c>
      <c r="E20" s="51"/>
      <c r="F20" s="51">
        <v>500.0</v>
      </c>
      <c r="G20" s="51"/>
      <c r="H20" s="51"/>
      <c r="I20" s="51">
        <v>500.0</v>
      </c>
      <c r="J20" s="51">
        <v>500.0</v>
      </c>
      <c r="K20" s="51">
        <v>500.0</v>
      </c>
      <c r="L20" s="51">
        <v>500.0</v>
      </c>
      <c r="M20" s="51">
        <v>500.0</v>
      </c>
      <c r="N20" s="52">
        <f t="shared" si="1"/>
        <v>4000</v>
      </c>
    </row>
    <row r="21" ht="22.5" customHeight="1">
      <c r="A21" s="22" t="s">
        <v>45</v>
      </c>
      <c r="B21" s="52"/>
      <c r="C21" s="52"/>
      <c r="D21" s="52"/>
      <c r="E21" s="51"/>
      <c r="F21" s="51"/>
      <c r="G21" s="52"/>
      <c r="H21" s="51"/>
      <c r="I21" s="52"/>
      <c r="J21" s="52"/>
      <c r="K21" s="52"/>
      <c r="L21" s="52"/>
      <c r="M21" s="52"/>
      <c r="N21" s="52">
        <f t="shared" si="1"/>
        <v>0</v>
      </c>
    </row>
    <row r="22" ht="22.5" customHeight="1">
      <c r="A22" s="22" t="s">
        <v>46</v>
      </c>
      <c r="B22" s="51"/>
      <c r="C22" s="51"/>
      <c r="D22" s="51"/>
      <c r="E22" s="51"/>
      <c r="F22" s="51"/>
      <c r="G22" s="51"/>
      <c r="H22" s="52"/>
      <c r="I22" s="51">
        <v>1000.0</v>
      </c>
      <c r="J22" s="51"/>
      <c r="K22" s="51"/>
      <c r="L22" s="51">
        <v>1500.0</v>
      </c>
      <c r="M22" s="52"/>
      <c r="N22" s="52">
        <f t="shared" si="1"/>
        <v>2500</v>
      </c>
    </row>
    <row r="23" ht="22.5" customHeight="1">
      <c r="A23" s="22" t="s">
        <v>47</v>
      </c>
      <c r="B23" s="51"/>
      <c r="C23" s="51">
        <v>1000.0</v>
      </c>
      <c r="D23" s="51">
        <v>500.0</v>
      </c>
      <c r="E23" s="51"/>
      <c r="F23" s="51">
        <v>500.0</v>
      </c>
      <c r="G23" s="51"/>
      <c r="H23" s="51">
        <v>500.0</v>
      </c>
      <c r="I23" s="51">
        <v>500.0</v>
      </c>
      <c r="J23" s="51">
        <v>500.0</v>
      </c>
      <c r="K23" s="51">
        <v>500.0</v>
      </c>
      <c r="L23" s="51">
        <v>500.0</v>
      </c>
      <c r="M23" s="51">
        <v>500.0</v>
      </c>
      <c r="N23" s="52">
        <f t="shared" si="1"/>
        <v>5000</v>
      </c>
    </row>
    <row r="24" ht="22.5" customHeight="1">
      <c r="A24" s="54" t="s">
        <v>124</v>
      </c>
      <c r="B24" s="51"/>
      <c r="C24" s="51">
        <v>600.0</v>
      </c>
      <c r="D24" s="51">
        <f>5000+600</f>
        <v>5600</v>
      </c>
      <c r="E24" s="52"/>
      <c r="F24" s="52"/>
      <c r="G24" s="51">
        <v>0.0</v>
      </c>
      <c r="H24" s="52"/>
      <c r="I24" s="51">
        <v>600.0</v>
      </c>
      <c r="J24" s="51"/>
      <c r="K24" s="51">
        <v>600.0</v>
      </c>
      <c r="L24" s="51">
        <v>600.0</v>
      </c>
      <c r="M24" s="51">
        <v>600.0</v>
      </c>
      <c r="N24" s="52">
        <f t="shared" si="1"/>
        <v>8600</v>
      </c>
    </row>
    <row r="25" ht="22.5" customHeight="1">
      <c r="A25" s="51" t="s">
        <v>14</v>
      </c>
      <c r="B25" s="52">
        <f t="shared" ref="B25:G25" si="2">sum(B2:B24)</f>
        <v>4000</v>
      </c>
      <c r="C25" s="52">
        <f t="shared" si="2"/>
        <v>6100</v>
      </c>
      <c r="D25" s="52">
        <f t="shared" si="2"/>
        <v>12100</v>
      </c>
      <c r="E25" s="52">
        <f t="shared" si="2"/>
        <v>2500</v>
      </c>
      <c r="F25" s="52">
        <f t="shared" si="2"/>
        <v>6000</v>
      </c>
      <c r="G25" s="52">
        <f t="shared" si="2"/>
        <v>7800</v>
      </c>
      <c r="H25" s="52">
        <f t="shared" ref="H25:K25" si="3">SUM(H1:H24)</f>
        <v>4000</v>
      </c>
      <c r="I25" s="52">
        <f t="shared" si="3"/>
        <v>7100</v>
      </c>
      <c r="J25" s="52">
        <f t="shared" si="3"/>
        <v>4500</v>
      </c>
      <c r="K25" s="52">
        <f t="shared" si="3"/>
        <v>5600</v>
      </c>
      <c r="L25" s="52">
        <f>SUM(L2:L24)</f>
        <v>7600</v>
      </c>
      <c r="M25" s="52">
        <f t="shared" ref="M25:N25" si="4">sum(M2:M24)</f>
        <v>7100</v>
      </c>
      <c r="N25" s="52">
        <f t="shared" si="4"/>
        <v>74400</v>
      </c>
    </row>
  </sheetData>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8.25"/>
    <col customWidth="1" min="3" max="3" width="7.0"/>
    <col customWidth="1" min="4" max="4" width="8.13"/>
    <col customWidth="1" min="5" max="5" width="8.88"/>
    <col customWidth="1" min="6" max="6" width="8.13"/>
    <col customWidth="1" min="7" max="7" width="9.0"/>
    <col customWidth="1" min="8" max="8" width="7.5"/>
    <col customWidth="1" min="9" max="9" width="8.13"/>
    <col customWidth="1" min="10" max="11" width="7.5"/>
    <col customWidth="1" min="12" max="12" width="7.75"/>
    <col customWidth="1" min="13" max="13" width="7.88"/>
    <col customWidth="1" min="14" max="14" width="9.25"/>
    <col customWidth="1" min="18" max="18" width="52.75"/>
  </cols>
  <sheetData>
    <row r="1" ht="22.5" customHeight="1">
      <c r="A1" s="20" t="s">
        <v>13</v>
      </c>
      <c r="B1" s="20" t="s">
        <v>98</v>
      </c>
      <c r="C1" s="20" t="s">
        <v>99</v>
      </c>
      <c r="D1" s="20" t="s">
        <v>100</v>
      </c>
      <c r="E1" s="20" t="s">
        <v>101</v>
      </c>
      <c r="F1" s="20" t="s">
        <v>102</v>
      </c>
      <c r="G1" s="20" t="s">
        <v>103</v>
      </c>
      <c r="H1" s="20" t="s">
        <v>104</v>
      </c>
      <c r="I1" s="20" t="s">
        <v>105</v>
      </c>
      <c r="J1" s="20" t="s">
        <v>106</v>
      </c>
      <c r="K1" s="20" t="s">
        <v>107</v>
      </c>
      <c r="L1" s="20" t="s">
        <v>108</v>
      </c>
      <c r="M1" s="20" t="s">
        <v>109</v>
      </c>
      <c r="N1" s="20" t="s">
        <v>14</v>
      </c>
    </row>
    <row r="2" ht="22.5" customHeight="1">
      <c r="A2" s="50" t="s">
        <v>110</v>
      </c>
      <c r="B2" s="51"/>
      <c r="C2" s="51"/>
      <c r="D2" s="51"/>
      <c r="E2" s="51"/>
      <c r="F2" s="52"/>
      <c r="G2" s="52"/>
      <c r="H2" s="52"/>
      <c r="I2" s="51"/>
      <c r="J2" s="51"/>
      <c r="K2" s="51">
        <v>500.0</v>
      </c>
      <c r="L2" s="51">
        <v>500.0</v>
      </c>
      <c r="M2" s="51">
        <v>500.0</v>
      </c>
      <c r="N2" s="52">
        <f t="shared" ref="N2:N25" si="1">sum(B2:M2)</f>
        <v>1500</v>
      </c>
    </row>
    <row r="3" ht="22.5" customHeight="1">
      <c r="A3" s="50" t="s">
        <v>111</v>
      </c>
      <c r="B3" s="51"/>
      <c r="C3" s="51"/>
      <c r="D3" s="51"/>
      <c r="E3" s="52"/>
      <c r="F3" s="51"/>
      <c r="G3" s="51">
        <v>3000.0</v>
      </c>
      <c r="H3" s="51"/>
      <c r="I3" s="51"/>
      <c r="J3" s="52"/>
      <c r="K3" s="51"/>
      <c r="L3" s="52"/>
      <c r="M3" s="51"/>
      <c r="N3" s="52">
        <f t="shared" si="1"/>
        <v>3000</v>
      </c>
    </row>
    <row r="4" ht="22.5" customHeight="1">
      <c r="A4" s="50" t="s">
        <v>112</v>
      </c>
      <c r="B4" s="51">
        <v>500.0</v>
      </c>
      <c r="C4" s="51">
        <v>500.0</v>
      </c>
      <c r="D4" s="51">
        <v>500.0</v>
      </c>
      <c r="E4" s="51"/>
      <c r="F4" s="51">
        <v>500.0</v>
      </c>
      <c r="G4" s="51">
        <v>500.0</v>
      </c>
      <c r="H4" s="51">
        <v>500.0</v>
      </c>
      <c r="I4" s="51">
        <v>500.0</v>
      </c>
      <c r="J4" s="51">
        <v>500.0</v>
      </c>
      <c r="K4" s="51">
        <v>500.0</v>
      </c>
      <c r="L4" s="51">
        <v>500.0</v>
      </c>
      <c r="M4" s="51">
        <v>500.0</v>
      </c>
      <c r="N4" s="52">
        <f t="shared" si="1"/>
        <v>5500</v>
      </c>
    </row>
    <row r="5" ht="22.5" customHeight="1">
      <c r="A5" s="50" t="s">
        <v>29</v>
      </c>
      <c r="B5" s="51"/>
      <c r="C5" s="51"/>
      <c r="D5" s="51"/>
      <c r="E5" s="51">
        <v>500.0</v>
      </c>
      <c r="F5" s="51"/>
      <c r="G5" s="51">
        <v>500.0</v>
      </c>
      <c r="H5" s="51">
        <v>500.0</v>
      </c>
      <c r="I5" s="51">
        <v>500.0</v>
      </c>
      <c r="J5" s="51">
        <v>500.0</v>
      </c>
      <c r="K5" s="51">
        <v>500.0</v>
      </c>
      <c r="L5" s="51">
        <v>500.0</v>
      </c>
      <c r="M5" s="51">
        <v>500.0</v>
      </c>
      <c r="N5" s="52">
        <f t="shared" si="1"/>
        <v>4000</v>
      </c>
    </row>
    <row r="6" ht="22.5" customHeight="1">
      <c r="A6" s="50" t="s">
        <v>30</v>
      </c>
      <c r="B6" s="52"/>
      <c r="C6" s="51"/>
      <c r="D6" s="51"/>
      <c r="E6" s="52"/>
      <c r="F6" s="52"/>
      <c r="G6" s="51"/>
      <c r="H6" s="52"/>
      <c r="I6" s="52"/>
      <c r="J6" s="52"/>
      <c r="K6" s="51"/>
      <c r="L6" s="52"/>
      <c r="M6" s="52"/>
      <c r="N6" s="52">
        <f t="shared" si="1"/>
        <v>0</v>
      </c>
    </row>
    <row r="7" ht="22.5" customHeight="1">
      <c r="A7" s="50" t="s">
        <v>125</v>
      </c>
      <c r="B7" s="52"/>
      <c r="C7" s="52"/>
      <c r="D7" s="52"/>
      <c r="E7" s="52"/>
      <c r="F7" s="52"/>
      <c r="G7" s="52"/>
      <c r="H7" s="52"/>
      <c r="I7" s="52"/>
      <c r="J7" s="52"/>
      <c r="K7" s="52"/>
      <c r="L7" s="52"/>
      <c r="M7" s="52"/>
      <c r="N7" s="52">
        <f t="shared" si="1"/>
        <v>0</v>
      </c>
    </row>
    <row r="8" ht="22.5" customHeight="1">
      <c r="A8" s="50" t="s">
        <v>113</v>
      </c>
      <c r="B8" s="51"/>
      <c r="C8" s="51">
        <v>500.0</v>
      </c>
      <c r="D8" s="51">
        <v>1000.0</v>
      </c>
      <c r="E8" s="51">
        <v>1000.0</v>
      </c>
      <c r="F8" s="51">
        <v>500.0</v>
      </c>
      <c r="G8" s="51">
        <v>500.0</v>
      </c>
      <c r="H8" s="51">
        <v>500.0</v>
      </c>
      <c r="I8" s="51"/>
      <c r="J8" s="51">
        <v>500.0</v>
      </c>
      <c r="K8" s="51">
        <v>500.0</v>
      </c>
      <c r="L8" s="51">
        <v>500.0</v>
      </c>
      <c r="M8" s="51">
        <v>500.0</v>
      </c>
      <c r="N8" s="52">
        <f t="shared" si="1"/>
        <v>6000</v>
      </c>
    </row>
    <row r="9" ht="22.5" customHeight="1">
      <c r="A9" s="50" t="s">
        <v>114</v>
      </c>
      <c r="B9" s="51"/>
      <c r="C9" s="51"/>
      <c r="D9" s="51"/>
      <c r="E9" s="52"/>
      <c r="F9" s="51"/>
      <c r="G9" s="52"/>
      <c r="H9" s="51"/>
      <c r="I9" s="51"/>
      <c r="J9" s="52"/>
      <c r="K9" s="51"/>
      <c r="L9" s="52"/>
      <c r="M9" s="51"/>
      <c r="N9" s="52">
        <f t="shared" si="1"/>
        <v>0</v>
      </c>
    </row>
    <row r="10" ht="22.5" customHeight="1">
      <c r="A10" s="50" t="s">
        <v>115</v>
      </c>
      <c r="B10" s="52"/>
      <c r="C10" s="52"/>
      <c r="D10" s="52"/>
      <c r="E10" s="52"/>
      <c r="F10" s="52"/>
      <c r="G10" s="52"/>
      <c r="H10" s="52"/>
      <c r="I10" s="52"/>
      <c r="J10" s="52"/>
      <c r="K10" s="52"/>
      <c r="L10" s="52"/>
      <c r="M10" s="52"/>
      <c r="N10" s="52">
        <f t="shared" si="1"/>
        <v>0</v>
      </c>
    </row>
    <row r="11" ht="22.5" customHeight="1">
      <c r="A11" s="50" t="s">
        <v>35</v>
      </c>
      <c r="B11" s="51">
        <v>500.0</v>
      </c>
      <c r="C11" s="51">
        <v>500.0</v>
      </c>
      <c r="D11" s="51">
        <v>500.0</v>
      </c>
      <c r="E11" s="51"/>
      <c r="F11" s="51">
        <v>500.0</v>
      </c>
      <c r="G11" s="51">
        <v>500.0</v>
      </c>
      <c r="H11" s="51">
        <v>500.0</v>
      </c>
      <c r="I11" s="51">
        <v>500.0</v>
      </c>
      <c r="J11" s="51">
        <v>500.0</v>
      </c>
      <c r="K11" s="51">
        <v>500.0</v>
      </c>
      <c r="L11" s="51">
        <v>500.0</v>
      </c>
      <c r="M11" s="51">
        <v>500.0</v>
      </c>
      <c r="N11" s="52">
        <f t="shared" si="1"/>
        <v>5500</v>
      </c>
      <c r="R11" s="56" t="s">
        <v>128</v>
      </c>
    </row>
    <row r="12" ht="22.5" customHeight="1">
      <c r="A12" s="50" t="s">
        <v>126</v>
      </c>
      <c r="B12" s="51">
        <v>500.0</v>
      </c>
      <c r="C12" s="51">
        <v>500.0</v>
      </c>
      <c r="D12" s="51">
        <v>500.0</v>
      </c>
      <c r="E12" s="51"/>
      <c r="F12" s="51">
        <v>500.0</v>
      </c>
      <c r="G12" s="51">
        <v>500.0</v>
      </c>
      <c r="H12" s="51">
        <v>500.0</v>
      </c>
      <c r="I12" s="51">
        <v>500.0</v>
      </c>
      <c r="J12" s="51">
        <v>500.0</v>
      </c>
      <c r="K12" s="51">
        <v>500.0</v>
      </c>
      <c r="L12" s="51">
        <v>500.0</v>
      </c>
      <c r="M12" s="51">
        <v>500.0</v>
      </c>
      <c r="N12" s="52">
        <f t="shared" si="1"/>
        <v>5500</v>
      </c>
      <c r="R12" s="56" t="s">
        <v>129</v>
      </c>
    </row>
    <row r="13" ht="22.5" customHeight="1">
      <c r="A13" s="50" t="s">
        <v>37</v>
      </c>
      <c r="B13" s="52"/>
      <c r="C13" s="51"/>
      <c r="D13" s="51"/>
      <c r="E13" s="51">
        <v>500.0</v>
      </c>
      <c r="F13" s="52"/>
      <c r="G13" s="51">
        <v>1000.0</v>
      </c>
      <c r="H13" s="51"/>
      <c r="I13" s="51"/>
      <c r="J13" s="51">
        <v>500.0</v>
      </c>
      <c r="K13" s="52"/>
      <c r="L13" s="51">
        <v>500.0</v>
      </c>
      <c r="M13" s="52"/>
      <c r="N13" s="52">
        <f t="shared" si="1"/>
        <v>2500</v>
      </c>
    </row>
    <row r="14" ht="22.5" customHeight="1">
      <c r="A14" s="50" t="s">
        <v>38</v>
      </c>
      <c r="B14" s="51">
        <v>500.0</v>
      </c>
      <c r="C14" s="51">
        <v>500.0</v>
      </c>
      <c r="D14" s="51">
        <v>500.0</v>
      </c>
      <c r="E14" s="51"/>
      <c r="F14" s="51">
        <v>500.0</v>
      </c>
      <c r="G14" s="51">
        <v>500.0</v>
      </c>
      <c r="H14" s="51">
        <v>500.0</v>
      </c>
      <c r="I14" s="51">
        <v>500.0</v>
      </c>
      <c r="J14" s="51">
        <v>500.0</v>
      </c>
      <c r="K14" s="51">
        <v>500.0</v>
      </c>
      <c r="L14" s="51">
        <v>500.0</v>
      </c>
      <c r="M14" s="51">
        <v>500.0</v>
      </c>
      <c r="N14" s="52">
        <f t="shared" si="1"/>
        <v>5500</v>
      </c>
    </row>
    <row r="15" ht="22.5" customHeight="1">
      <c r="A15" s="50" t="s">
        <v>39</v>
      </c>
      <c r="B15" s="52"/>
      <c r="C15" s="52"/>
      <c r="D15" s="52"/>
      <c r="E15" s="52"/>
      <c r="F15" s="52"/>
      <c r="G15" s="52"/>
      <c r="H15" s="52"/>
      <c r="I15" s="52"/>
      <c r="J15" s="52"/>
      <c r="K15" s="52"/>
      <c r="L15" s="52"/>
      <c r="M15" s="52"/>
      <c r="N15" s="52">
        <f t="shared" si="1"/>
        <v>0</v>
      </c>
    </row>
    <row r="16" ht="22.5" customHeight="1">
      <c r="A16" s="50" t="s">
        <v>40</v>
      </c>
      <c r="B16" s="51">
        <v>500.0</v>
      </c>
      <c r="C16" s="51"/>
      <c r="D16" s="51"/>
      <c r="E16" s="51"/>
      <c r="F16" s="51"/>
      <c r="G16" s="51">
        <v>2500.0</v>
      </c>
      <c r="H16" s="51"/>
      <c r="I16" s="51"/>
      <c r="J16" s="51"/>
      <c r="K16" s="51">
        <v>2000.0</v>
      </c>
      <c r="L16" s="51">
        <v>500.0</v>
      </c>
      <c r="M16" s="51">
        <v>500.0</v>
      </c>
      <c r="N16" s="52">
        <f t="shared" si="1"/>
        <v>6000</v>
      </c>
    </row>
    <row r="17" ht="22.5" customHeight="1">
      <c r="A17" s="50" t="s">
        <v>127</v>
      </c>
      <c r="B17" s="52"/>
      <c r="C17" s="52"/>
      <c r="D17" s="51"/>
      <c r="E17" s="51"/>
      <c r="F17" s="52"/>
      <c r="G17" s="52"/>
      <c r="H17" s="52"/>
      <c r="I17" s="52"/>
      <c r="J17" s="52"/>
      <c r="K17" s="52"/>
      <c r="L17" s="52"/>
      <c r="M17" s="52"/>
      <c r="N17" s="52">
        <f t="shared" si="1"/>
        <v>0</v>
      </c>
    </row>
    <row r="18" ht="22.5" customHeight="1">
      <c r="A18" s="50" t="s">
        <v>42</v>
      </c>
      <c r="B18" s="51">
        <v>500.0</v>
      </c>
      <c r="C18" s="51">
        <v>500.0</v>
      </c>
      <c r="D18" s="51">
        <v>500.0</v>
      </c>
      <c r="E18" s="51"/>
      <c r="F18" s="51"/>
      <c r="G18" s="51">
        <v>500.0</v>
      </c>
      <c r="H18" s="51">
        <v>500.0</v>
      </c>
      <c r="I18" s="51">
        <v>500.0</v>
      </c>
      <c r="J18" s="51">
        <v>500.0</v>
      </c>
      <c r="K18" s="51">
        <v>500.0</v>
      </c>
      <c r="L18" s="51">
        <v>500.0</v>
      </c>
      <c r="M18" s="51">
        <v>500.0</v>
      </c>
      <c r="N18" s="52">
        <f t="shared" si="1"/>
        <v>5000</v>
      </c>
    </row>
    <row r="19" ht="22.5" customHeight="1">
      <c r="A19" s="50" t="s">
        <v>130</v>
      </c>
      <c r="B19" s="51"/>
      <c r="C19" s="51"/>
      <c r="D19" s="52"/>
      <c r="E19" s="51"/>
      <c r="F19" s="51"/>
      <c r="G19" s="51"/>
      <c r="H19" s="52"/>
      <c r="I19" s="52"/>
      <c r="J19" s="51"/>
      <c r="K19" s="51"/>
      <c r="L19" s="52"/>
      <c r="M19" s="51"/>
      <c r="N19" s="52">
        <f t="shared" si="1"/>
        <v>0</v>
      </c>
    </row>
    <row r="20" ht="22.5" customHeight="1">
      <c r="A20" s="22" t="s">
        <v>44</v>
      </c>
      <c r="B20" s="51"/>
      <c r="C20" s="51">
        <v>500.0</v>
      </c>
      <c r="D20" s="51">
        <v>500.0</v>
      </c>
      <c r="E20" s="51">
        <v>500.0</v>
      </c>
      <c r="F20" s="51">
        <v>500.0</v>
      </c>
      <c r="G20" s="51">
        <v>500.0</v>
      </c>
      <c r="H20" s="51">
        <v>500.0</v>
      </c>
      <c r="I20" s="51">
        <v>500.0</v>
      </c>
      <c r="J20" s="51">
        <v>500.0</v>
      </c>
      <c r="K20" s="51">
        <v>500.0</v>
      </c>
      <c r="L20" s="51">
        <v>500.0</v>
      </c>
      <c r="M20" s="51"/>
      <c r="N20" s="52">
        <f t="shared" si="1"/>
        <v>5000</v>
      </c>
    </row>
    <row r="21" ht="22.5" customHeight="1">
      <c r="A21" s="22" t="s">
        <v>45</v>
      </c>
      <c r="B21" s="52"/>
      <c r="C21" s="52"/>
      <c r="D21" s="52"/>
      <c r="E21" s="51"/>
      <c r="F21" s="51"/>
      <c r="G21" s="52"/>
      <c r="H21" s="51"/>
      <c r="I21" s="52"/>
      <c r="J21" s="52"/>
      <c r="K21" s="52"/>
      <c r="L21" s="52"/>
      <c r="M21" s="52"/>
      <c r="N21" s="52">
        <f t="shared" si="1"/>
        <v>0</v>
      </c>
    </row>
    <row r="22" ht="22.5" customHeight="1">
      <c r="A22" s="22" t="s">
        <v>46</v>
      </c>
      <c r="B22" s="51"/>
      <c r="C22" s="51"/>
      <c r="D22" s="51"/>
      <c r="E22" s="51"/>
      <c r="F22" s="51">
        <v>500.0</v>
      </c>
      <c r="G22" s="51"/>
      <c r="H22" s="51">
        <v>500.0</v>
      </c>
      <c r="I22" s="52"/>
      <c r="J22" s="51">
        <v>1000.0</v>
      </c>
      <c r="K22" s="51">
        <v>1000.0</v>
      </c>
      <c r="L22" s="52"/>
      <c r="M22" s="52"/>
      <c r="N22" s="52">
        <f t="shared" si="1"/>
        <v>3000</v>
      </c>
    </row>
    <row r="23" ht="22.5" customHeight="1">
      <c r="A23" s="22" t="s">
        <v>47</v>
      </c>
      <c r="B23" s="51"/>
      <c r="C23" s="51">
        <v>500.0</v>
      </c>
      <c r="D23" s="51"/>
      <c r="E23" s="51"/>
      <c r="F23" s="51">
        <v>500.0</v>
      </c>
      <c r="G23" s="51"/>
      <c r="H23" s="51">
        <v>500.0</v>
      </c>
      <c r="I23" s="51"/>
      <c r="J23" s="51">
        <v>500.0</v>
      </c>
      <c r="K23" s="51"/>
      <c r="L23" s="52"/>
      <c r="M23" s="51">
        <v>500.0</v>
      </c>
      <c r="N23" s="52">
        <f t="shared" si="1"/>
        <v>2500</v>
      </c>
    </row>
    <row r="24" ht="22.5" customHeight="1">
      <c r="A24" s="22" t="s">
        <v>131</v>
      </c>
      <c r="B24" s="51"/>
      <c r="C24" s="51"/>
      <c r="D24" s="51"/>
      <c r="E24" s="51"/>
      <c r="F24" s="51">
        <v>500.0</v>
      </c>
      <c r="G24" s="51">
        <v>500.0</v>
      </c>
      <c r="H24" s="51">
        <v>500.0</v>
      </c>
      <c r="I24" s="51"/>
      <c r="J24" s="51"/>
      <c r="K24" s="51">
        <v>500.0</v>
      </c>
      <c r="L24" s="51">
        <v>500.0</v>
      </c>
      <c r="M24" s="51">
        <v>500.0</v>
      </c>
      <c r="N24" s="52">
        <f t="shared" si="1"/>
        <v>3000</v>
      </c>
    </row>
    <row r="25" ht="22.5" customHeight="1">
      <c r="A25" s="54" t="s">
        <v>124</v>
      </c>
      <c r="B25" s="51"/>
      <c r="C25" s="51"/>
      <c r="D25" s="52"/>
      <c r="E25" s="52"/>
      <c r="F25" s="52"/>
      <c r="G25" s="52"/>
      <c r="H25" s="52"/>
      <c r="I25" s="51"/>
      <c r="J25" s="51"/>
      <c r="K25" s="52"/>
      <c r="L25" s="51">
        <v>600.0</v>
      </c>
      <c r="M25" s="51"/>
      <c r="N25" s="52">
        <f t="shared" si="1"/>
        <v>600</v>
      </c>
    </row>
    <row r="26" ht="22.5" customHeight="1">
      <c r="A26" s="51" t="s">
        <v>14</v>
      </c>
      <c r="B26" s="52">
        <f t="shared" ref="B26:G26" si="2">sum(B2:B25)</f>
        <v>3000</v>
      </c>
      <c r="C26" s="52">
        <f t="shared" si="2"/>
        <v>4000</v>
      </c>
      <c r="D26" s="52">
        <f t="shared" si="2"/>
        <v>4000</v>
      </c>
      <c r="E26" s="52">
        <f t="shared" si="2"/>
        <v>2500</v>
      </c>
      <c r="F26" s="52">
        <f t="shared" si="2"/>
        <v>4500</v>
      </c>
      <c r="G26" s="52">
        <f t="shared" si="2"/>
        <v>11000</v>
      </c>
      <c r="H26" s="52">
        <f t="shared" ref="H26:M26" si="3">SUM(H1:H25)</f>
        <v>5500</v>
      </c>
      <c r="I26" s="52">
        <f t="shared" si="3"/>
        <v>3500</v>
      </c>
      <c r="J26" s="52">
        <f t="shared" si="3"/>
        <v>6000</v>
      </c>
      <c r="K26" s="52">
        <f t="shared" si="3"/>
        <v>8000</v>
      </c>
      <c r="L26" s="52">
        <f t="shared" si="3"/>
        <v>6600</v>
      </c>
      <c r="M26" s="52">
        <f t="shared" si="3"/>
        <v>5500</v>
      </c>
      <c r="N26" s="52">
        <f>sum(N2:N25)</f>
        <v>64100</v>
      </c>
    </row>
  </sheetData>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63"/>
    <col customWidth="1" min="2" max="3" width="8.25"/>
    <col customWidth="1" min="4" max="4" width="8.38"/>
    <col customWidth="1" min="5" max="5" width="8.13"/>
    <col customWidth="1" min="6" max="6" width="8.63"/>
    <col customWidth="1" min="7" max="7" width="8.25"/>
    <col customWidth="1" min="8" max="8" width="8.5"/>
    <col customWidth="1" min="9" max="9" width="8.38"/>
    <col customWidth="1" min="10" max="10" width="7.25"/>
    <col customWidth="1" min="11" max="11" width="8.13"/>
    <col customWidth="1" min="12" max="13" width="5.0"/>
  </cols>
  <sheetData>
    <row r="1" ht="22.5" customHeight="1">
      <c r="A1" s="20" t="s">
        <v>13</v>
      </c>
      <c r="B1" s="20" t="s">
        <v>98</v>
      </c>
      <c r="C1" s="20" t="s">
        <v>99</v>
      </c>
      <c r="D1" s="20" t="s">
        <v>100</v>
      </c>
      <c r="E1" s="20" t="s">
        <v>101</v>
      </c>
      <c r="F1" s="20" t="s">
        <v>102</v>
      </c>
      <c r="G1" s="20" t="s">
        <v>103</v>
      </c>
      <c r="H1" s="20" t="s">
        <v>104</v>
      </c>
      <c r="I1" s="20" t="s">
        <v>105</v>
      </c>
      <c r="J1" s="20" t="s">
        <v>106</v>
      </c>
      <c r="K1" s="20" t="s">
        <v>107</v>
      </c>
      <c r="L1" s="20" t="s">
        <v>108</v>
      </c>
      <c r="M1" s="20" t="s">
        <v>109</v>
      </c>
      <c r="N1" s="20" t="s">
        <v>14</v>
      </c>
    </row>
    <row r="2" ht="22.5" customHeight="1">
      <c r="A2" s="50" t="s">
        <v>110</v>
      </c>
      <c r="B2" s="51">
        <v>500.0</v>
      </c>
      <c r="C2" s="51"/>
      <c r="D2" s="51"/>
      <c r="E2" s="51"/>
      <c r="F2" s="52"/>
      <c r="G2" s="52"/>
      <c r="H2" s="52"/>
      <c r="I2" s="51"/>
      <c r="J2" s="51"/>
      <c r="K2" s="51"/>
      <c r="L2" s="51"/>
      <c r="M2" s="51"/>
      <c r="N2" s="52">
        <f t="shared" ref="N2:N24" si="1">sum(B2:M2)</f>
        <v>500</v>
      </c>
    </row>
    <row r="3" ht="22.5" customHeight="1">
      <c r="A3" s="50" t="s">
        <v>111</v>
      </c>
      <c r="B3" s="51"/>
      <c r="C3" s="51"/>
      <c r="D3" s="51"/>
      <c r="E3" s="52"/>
      <c r="F3" s="51"/>
      <c r="G3" s="51">
        <v>1000.0</v>
      </c>
      <c r="H3" s="51"/>
      <c r="I3" s="51">
        <v>500.0</v>
      </c>
      <c r="J3" s="52"/>
      <c r="K3" s="51"/>
      <c r="L3" s="52"/>
      <c r="M3" s="51"/>
      <c r="N3" s="52">
        <f t="shared" si="1"/>
        <v>1500</v>
      </c>
    </row>
    <row r="4" ht="22.5" customHeight="1">
      <c r="A4" s="50" t="s">
        <v>112</v>
      </c>
      <c r="B4" s="51">
        <v>500.0</v>
      </c>
      <c r="C4" s="51">
        <v>500.0</v>
      </c>
      <c r="D4" s="51">
        <v>500.0</v>
      </c>
      <c r="E4" s="51">
        <v>500.0</v>
      </c>
      <c r="F4" s="51">
        <v>500.0</v>
      </c>
      <c r="G4" s="51">
        <v>500.0</v>
      </c>
      <c r="H4" s="51">
        <v>500.0</v>
      </c>
      <c r="I4" s="51">
        <v>500.0</v>
      </c>
      <c r="J4" s="51">
        <v>500.0</v>
      </c>
      <c r="K4" s="51"/>
      <c r="L4" s="51">
        <v>500.0</v>
      </c>
      <c r="M4" s="51">
        <v>500.0</v>
      </c>
      <c r="N4" s="52">
        <f t="shared" si="1"/>
        <v>5500</v>
      </c>
    </row>
    <row r="5" ht="22.5" customHeight="1">
      <c r="A5" s="50" t="s">
        <v>29</v>
      </c>
      <c r="B5" s="51">
        <v>1000.0</v>
      </c>
      <c r="C5" s="51">
        <v>500.0</v>
      </c>
      <c r="D5" s="51">
        <v>500.0</v>
      </c>
      <c r="E5" s="51"/>
      <c r="F5" s="51"/>
      <c r="G5" s="52"/>
      <c r="H5" s="51">
        <v>500.0</v>
      </c>
      <c r="I5" s="51"/>
      <c r="J5" s="52"/>
      <c r="K5" s="51"/>
      <c r="L5" s="51"/>
      <c r="M5" s="52"/>
      <c r="N5" s="52">
        <f t="shared" si="1"/>
        <v>2500</v>
      </c>
    </row>
    <row r="6" ht="22.5" customHeight="1">
      <c r="A6" s="50" t="s">
        <v>30</v>
      </c>
      <c r="B6" s="52"/>
      <c r="C6" s="51">
        <v>500.0</v>
      </c>
      <c r="D6" s="51">
        <v>1000.0</v>
      </c>
      <c r="E6" s="52"/>
      <c r="F6" s="52"/>
      <c r="G6" s="51">
        <v>1000.0</v>
      </c>
      <c r="H6" s="52"/>
      <c r="I6" s="52"/>
      <c r="J6" s="52"/>
      <c r="K6" s="51"/>
      <c r="L6" s="52"/>
      <c r="M6" s="52"/>
      <c r="N6" s="52">
        <f t="shared" si="1"/>
        <v>2500</v>
      </c>
    </row>
    <row r="7" ht="22.5" customHeight="1">
      <c r="A7" s="50" t="s">
        <v>125</v>
      </c>
      <c r="B7" s="52"/>
      <c r="C7" s="52"/>
      <c r="D7" s="52"/>
      <c r="E7" s="52"/>
      <c r="F7" s="52"/>
      <c r="G7" s="52"/>
      <c r="H7" s="52"/>
      <c r="I7" s="52"/>
      <c r="J7" s="52"/>
      <c r="K7" s="52"/>
      <c r="L7" s="52"/>
      <c r="M7" s="52"/>
      <c r="N7" s="52">
        <f t="shared" si="1"/>
        <v>0</v>
      </c>
    </row>
    <row r="8" ht="22.5" customHeight="1">
      <c r="A8" s="50" t="s">
        <v>113</v>
      </c>
      <c r="B8" s="51">
        <v>500.0</v>
      </c>
      <c r="C8" s="51">
        <v>500.0</v>
      </c>
      <c r="D8" s="51">
        <v>500.0</v>
      </c>
      <c r="E8" s="51"/>
      <c r="F8" s="51">
        <v>1000.0</v>
      </c>
      <c r="G8" s="51">
        <v>1000.0</v>
      </c>
      <c r="H8" s="51">
        <v>1000.0</v>
      </c>
      <c r="I8" s="51">
        <v>1000.0</v>
      </c>
      <c r="J8" s="51">
        <v>500.0</v>
      </c>
      <c r="K8" s="51"/>
      <c r="L8" s="51">
        <v>500.0</v>
      </c>
      <c r="M8" s="51">
        <v>500.0</v>
      </c>
      <c r="N8" s="52">
        <f t="shared" si="1"/>
        <v>7000</v>
      </c>
    </row>
    <row r="9" ht="22.5" customHeight="1">
      <c r="A9" s="50" t="s">
        <v>114</v>
      </c>
      <c r="B9" s="51"/>
      <c r="C9" s="51">
        <v>500.0</v>
      </c>
      <c r="D9" s="51">
        <v>500.0</v>
      </c>
      <c r="E9" s="52"/>
      <c r="F9" s="51"/>
      <c r="G9" s="52"/>
      <c r="H9" s="51">
        <v>1000.0</v>
      </c>
      <c r="I9" s="51"/>
      <c r="J9" s="52"/>
      <c r="K9" s="51"/>
      <c r="L9" s="52"/>
      <c r="M9" s="51"/>
      <c r="N9" s="52">
        <f t="shared" si="1"/>
        <v>2000</v>
      </c>
    </row>
    <row r="10" ht="22.5" customHeight="1">
      <c r="A10" s="50" t="s">
        <v>115</v>
      </c>
      <c r="B10" s="52"/>
      <c r="C10" s="52"/>
      <c r="D10" s="52"/>
      <c r="E10" s="52"/>
      <c r="F10" s="52"/>
      <c r="G10" s="52"/>
      <c r="H10" s="52"/>
      <c r="I10" s="52"/>
      <c r="J10" s="52"/>
      <c r="K10" s="52"/>
      <c r="L10" s="52"/>
      <c r="M10" s="52"/>
      <c r="N10" s="52">
        <f t="shared" si="1"/>
        <v>0</v>
      </c>
    </row>
    <row r="11" ht="22.5" customHeight="1">
      <c r="A11" s="50" t="s">
        <v>35</v>
      </c>
      <c r="B11" s="51">
        <v>500.0</v>
      </c>
      <c r="C11" s="51">
        <v>500.0</v>
      </c>
      <c r="D11" s="51">
        <v>500.0</v>
      </c>
      <c r="E11" s="51">
        <v>500.0</v>
      </c>
      <c r="F11" s="51">
        <v>500.0</v>
      </c>
      <c r="G11" s="51">
        <v>500.0</v>
      </c>
      <c r="H11" s="51">
        <v>500.0</v>
      </c>
      <c r="I11" s="51">
        <v>500.0</v>
      </c>
      <c r="J11" s="51">
        <v>500.0</v>
      </c>
      <c r="K11" s="51"/>
      <c r="L11" s="51">
        <v>500.0</v>
      </c>
      <c r="M11" s="51">
        <v>500.0</v>
      </c>
      <c r="N11" s="52">
        <f t="shared" si="1"/>
        <v>5500</v>
      </c>
    </row>
    <row r="12" ht="22.5" customHeight="1">
      <c r="A12" s="50" t="s">
        <v>126</v>
      </c>
      <c r="B12" s="51">
        <v>500.0</v>
      </c>
      <c r="C12" s="51">
        <v>500.0</v>
      </c>
      <c r="D12" s="51">
        <v>500.0</v>
      </c>
      <c r="E12" s="51">
        <v>500.0</v>
      </c>
      <c r="F12" s="51">
        <v>500.0</v>
      </c>
      <c r="G12" s="51">
        <v>500.0</v>
      </c>
      <c r="H12" s="51">
        <v>500.0</v>
      </c>
      <c r="I12" s="51">
        <v>500.0</v>
      </c>
      <c r="J12" s="51">
        <v>500.0</v>
      </c>
      <c r="K12" s="51"/>
      <c r="L12" s="51">
        <v>500.0</v>
      </c>
      <c r="M12" s="51">
        <v>500.0</v>
      </c>
      <c r="N12" s="52">
        <f t="shared" si="1"/>
        <v>5500</v>
      </c>
    </row>
    <row r="13" ht="22.5" customHeight="1">
      <c r="A13" s="50" t="s">
        <v>37</v>
      </c>
      <c r="B13" s="52"/>
      <c r="C13" s="51">
        <v>1000.0</v>
      </c>
      <c r="D13" s="51">
        <v>1000.0</v>
      </c>
      <c r="E13" s="52"/>
      <c r="F13" s="52"/>
      <c r="G13" s="51">
        <v>1000.0</v>
      </c>
      <c r="H13" s="51">
        <v>1000.0</v>
      </c>
      <c r="I13" s="51">
        <v>500.0</v>
      </c>
      <c r="J13" s="51">
        <v>500.0</v>
      </c>
      <c r="K13" s="52"/>
      <c r="L13" s="52"/>
      <c r="M13" s="52"/>
      <c r="N13" s="52">
        <f t="shared" si="1"/>
        <v>5000</v>
      </c>
    </row>
    <row r="14" ht="22.5" customHeight="1">
      <c r="A14" s="50" t="s">
        <v>38</v>
      </c>
      <c r="B14" s="51">
        <v>500.0</v>
      </c>
      <c r="C14" s="51">
        <v>500.0</v>
      </c>
      <c r="D14" s="51">
        <v>500.0</v>
      </c>
      <c r="E14" s="51">
        <v>500.0</v>
      </c>
      <c r="F14" s="51">
        <v>500.0</v>
      </c>
      <c r="G14" s="51">
        <v>500.0</v>
      </c>
      <c r="H14" s="51">
        <v>500.0</v>
      </c>
      <c r="I14" s="51">
        <v>500.0</v>
      </c>
      <c r="J14" s="51">
        <v>500.0</v>
      </c>
      <c r="K14" s="51"/>
      <c r="L14" s="51">
        <v>500.0</v>
      </c>
      <c r="M14" s="51">
        <v>500.0</v>
      </c>
      <c r="N14" s="52">
        <f t="shared" si="1"/>
        <v>5500</v>
      </c>
    </row>
    <row r="15" ht="22.5" customHeight="1">
      <c r="A15" s="50" t="s">
        <v>39</v>
      </c>
      <c r="B15" s="52"/>
      <c r="C15" s="52"/>
      <c r="D15" s="52"/>
      <c r="E15" s="52"/>
      <c r="F15" s="52"/>
      <c r="G15" s="52"/>
      <c r="H15" s="52"/>
      <c r="I15" s="52"/>
      <c r="J15" s="52"/>
      <c r="K15" s="52"/>
      <c r="L15" s="52"/>
      <c r="M15" s="52"/>
      <c r="N15" s="52">
        <f t="shared" si="1"/>
        <v>0</v>
      </c>
    </row>
    <row r="16" ht="22.5" customHeight="1">
      <c r="A16" s="50" t="s">
        <v>40</v>
      </c>
      <c r="B16" s="51">
        <v>500.0</v>
      </c>
      <c r="C16" s="51">
        <v>500.0</v>
      </c>
      <c r="D16" s="51">
        <v>500.0</v>
      </c>
      <c r="E16" s="51">
        <v>500.0</v>
      </c>
      <c r="F16" s="51">
        <v>500.0</v>
      </c>
      <c r="G16" s="51">
        <v>500.0</v>
      </c>
      <c r="H16" s="51">
        <v>500.0</v>
      </c>
      <c r="I16" s="51">
        <v>500.0</v>
      </c>
      <c r="J16" s="51">
        <v>500.0</v>
      </c>
      <c r="K16" s="51"/>
      <c r="L16" s="51">
        <v>500.0</v>
      </c>
      <c r="M16" s="51">
        <v>500.0</v>
      </c>
      <c r="N16" s="52">
        <f t="shared" si="1"/>
        <v>5500</v>
      </c>
    </row>
    <row r="17" ht="22.5" customHeight="1">
      <c r="A17" s="50" t="s">
        <v>127</v>
      </c>
      <c r="B17" s="52"/>
      <c r="C17" s="52"/>
      <c r="D17" s="51">
        <v>4600.0</v>
      </c>
      <c r="E17" s="51"/>
      <c r="F17" s="52"/>
      <c r="G17" s="52"/>
      <c r="H17" s="52"/>
      <c r="I17" s="52"/>
      <c r="J17" s="52"/>
      <c r="K17" s="52"/>
      <c r="L17" s="52"/>
      <c r="M17" s="52"/>
      <c r="N17" s="52">
        <f t="shared" si="1"/>
        <v>4600</v>
      </c>
    </row>
    <row r="18" ht="22.5" customHeight="1">
      <c r="A18" s="50" t="s">
        <v>42</v>
      </c>
      <c r="B18" s="51">
        <v>500.0</v>
      </c>
      <c r="C18" s="51">
        <v>500.0</v>
      </c>
      <c r="D18" s="51">
        <v>500.0</v>
      </c>
      <c r="E18" s="51">
        <v>500.0</v>
      </c>
      <c r="F18" s="51">
        <v>500.0</v>
      </c>
      <c r="G18" s="51">
        <v>500.0</v>
      </c>
      <c r="H18" s="51"/>
      <c r="I18" s="51">
        <v>500.0</v>
      </c>
      <c r="J18" s="51">
        <v>500.0</v>
      </c>
      <c r="K18" s="51"/>
      <c r="L18" s="51">
        <v>500.0</v>
      </c>
      <c r="M18" s="51">
        <v>500.0</v>
      </c>
      <c r="N18" s="52">
        <f t="shared" si="1"/>
        <v>5000</v>
      </c>
    </row>
    <row r="19" ht="22.5" customHeight="1">
      <c r="A19" s="50" t="s">
        <v>130</v>
      </c>
      <c r="B19" s="51">
        <v>500.0</v>
      </c>
      <c r="C19" s="51">
        <v>500.0</v>
      </c>
      <c r="D19" s="52"/>
      <c r="E19" s="51">
        <v>1000.0</v>
      </c>
      <c r="F19" s="51"/>
      <c r="G19" s="51">
        <v>1000.0</v>
      </c>
      <c r="H19" s="52"/>
      <c r="I19" s="52"/>
      <c r="J19" s="51"/>
      <c r="K19" s="51"/>
      <c r="L19" s="52"/>
      <c r="M19" s="51"/>
      <c r="N19" s="52">
        <f t="shared" si="1"/>
        <v>3000</v>
      </c>
    </row>
    <row r="20" ht="22.5" customHeight="1">
      <c r="A20" s="22" t="s">
        <v>44</v>
      </c>
      <c r="B20" s="51">
        <v>500.0</v>
      </c>
      <c r="C20" s="51">
        <v>500.0</v>
      </c>
      <c r="D20" s="51">
        <v>500.0</v>
      </c>
      <c r="E20" s="51">
        <v>500.0</v>
      </c>
      <c r="F20" s="51">
        <v>500.0</v>
      </c>
      <c r="G20" s="51">
        <v>500.0</v>
      </c>
      <c r="H20" s="51">
        <v>500.0</v>
      </c>
      <c r="I20" s="51">
        <v>500.0</v>
      </c>
      <c r="J20" s="51">
        <v>500.0</v>
      </c>
      <c r="K20" s="51"/>
      <c r="L20" s="51">
        <v>500.0</v>
      </c>
      <c r="M20" s="51">
        <v>500.0</v>
      </c>
      <c r="N20" s="52">
        <f t="shared" si="1"/>
        <v>5500</v>
      </c>
    </row>
    <row r="21" ht="22.5" customHeight="1">
      <c r="A21" s="22" t="s">
        <v>45</v>
      </c>
      <c r="B21" s="52"/>
      <c r="C21" s="52"/>
      <c r="D21" s="52"/>
      <c r="E21" s="51"/>
      <c r="F21" s="51"/>
      <c r="G21" s="52"/>
      <c r="H21" s="51"/>
      <c r="I21" s="52"/>
      <c r="J21" s="52"/>
      <c r="K21" s="52"/>
      <c r="L21" s="52"/>
      <c r="M21" s="52"/>
      <c r="N21" s="52">
        <f t="shared" si="1"/>
        <v>0</v>
      </c>
    </row>
    <row r="22" ht="22.5" customHeight="1">
      <c r="A22" s="22" t="s">
        <v>46</v>
      </c>
      <c r="B22" s="51"/>
      <c r="C22" s="51">
        <v>1000.0</v>
      </c>
      <c r="D22" s="51">
        <v>1000.0</v>
      </c>
      <c r="E22" s="51"/>
      <c r="F22" s="51"/>
      <c r="G22" s="51"/>
      <c r="H22" s="52"/>
      <c r="I22" s="52"/>
      <c r="J22" s="51">
        <v>3000.0</v>
      </c>
      <c r="K22" s="51"/>
      <c r="L22" s="52"/>
      <c r="M22" s="52"/>
      <c r="N22" s="52">
        <f t="shared" si="1"/>
        <v>5000</v>
      </c>
    </row>
    <row r="23" ht="22.5" customHeight="1">
      <c r="A23" s="22" t="s">
        <v>47</v>
      </c>
      <c r="B23" s="51">
        <v>500.0</v>
      </c>
      <c r="C23" s="51">
        <v>500.0</v>
      </c>
      <c r="D23" s="51">
        <v>500.0</v>
      </c>
      <c r="E23" s="51"/>
      <c r="F23" s="51">
        <v>500.0</v>
      </c>
      <c r="G23" s="51">
        <v>500.0</v>
      </c>
      <c r="H23" s="51"/>
      <c r="I23" s="51">
        <v>500.0</v>
      </c>
      <c r="J23" s="51">
        <v>500.0</v>
      </c>
      <c r="K23" s="51"/>
      <c r="L23" s="51">
        <v>500.0</v>
      </c>
      <c r="M23" s="51"/>
      <c r="N23" s="52">
        <f t="shared" si="1"/>
        <v>4000</v>
      </c>
    </row>
    <row r="24" ht="22.5" customHeight="1">
      <c r="A24" s="54" t="s">
        <v>124</v>
      </c>
      <c r="B24" s="51">
        <f t="shared" ref="B24:C24" si="2">600+600</f>
        <v>1200</v>
      </c>
      <c r="C24" s="51">
        <f t="shared" si="2"/>
        <v>1200</v>
      </c>
      <c r="D24" s="52">
        <f>600+1223</f>
        <v>1823</v>
      </c>
      <c r="E24" s="52">
        <f t="shared" ref="E24:F24" si="3">600</f>
        <v>600</v>
      </c>
      <c r="F24" s="52">
        <f t="shared" si="3"/>
        <v>600</v>
      </c>
      <c r="G24" s="52">
        <f>600+1500+1689</f>
        <v>3789</v>
      </c>
      <c r="H24" s="52">
        <f>600</f>
        <v>600</v>
      </c>
      <c r="I24" s="51">
        <v>600.0</v>
      </c>
      <c r="J24" s="51">
        <f>600+900</f>
        <v>1500</v>
      </c>
      <c r="K24" s="52"/>
      <c r="L24" s="52"/>
      <c r="M24" s="51"/>
      <c r="N24" s="52">
        <f t="shared" si="1"/>
        <v>11912</v>
      </c>
    </row>
    <row r="25" ht="22.5" customHeight="1">
      <c r="A25" s="51" t="s">
        <v>14</v>
      </c>
      <c r="B25" s="52">
        <f t="shared" ref="B25:G25" si="4">sum(B2:B24)</f>
        <v>7700</v>
      </c>
      <c r="C25" s="52">
        <f t="shared" si="4"/>
        <v>9700</v>
      </c>
      <c r="D25" s="52">
        <f t="shared" si="4"/>
        <v>14923</v>
      </c>
      <c r="E25" s="52">
        <f t="shared" si="4"/>
        <v>5100</v>
      </c>
      <c r="F25" s="52">
        <f t="shared" si="4"/>
        <v>5600</v>
      </c>
      <c r="G25" s="52">
        <f t="shared" si="4"/>
        <v>12789</v>
      </c>
      <c r="H25" s="52">
        <f>SUM(H1:H24)</f>
        <v>7100</v>
      </c>
      <c r="I25" s="52"/>
      <c r="J25" s="52"/>
      <c r="K25" s="52"/>
      <c r="L25" s="52"/>
      <c r="M25" s="52"/>
      <c r="N25" s="52">
        <f>sum(N2:N24)</f>
        <v>87512</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75"/>
    <col customWidth="1" min="2" max="3" width="8.25"/>
    <col customWidth="1" min="4" max="5" width="8.13"/>
    <col customWidth="1" min="6" max="6" width="8.88"/>
    <col customWidth="1" min="7" max="7" width="8.63"/>
    <col customWidth="1" min="8" max="8" width="7.63"/>
    <col customWidth="1" min="9" max="9" width="7.25"/>
    <col customWidth="1" min="10" max="10" width="7.88"/>
    <col customWidth="1" min="11" max="11" width="8.38"/>
    <col customWidth="1" min="12" max="12" width="8.25"/>
    <col customWidth="1" min="13" max="13" width="8.38"/>
    <col customWidth="1" min="14" max="14" width="9.75"/>
  </cols>
  <sheetData>
    <row r="1" ht="22.5" customHeight="1">
      <c r="A1" s="20" t="s">
        <v>13</v>
      </c>
      <c r="B1" s="20" t="s">
        <v>98</v>
      </c>
      <c r="C1" s="20" t="s">
        <v>99</v>
      </c>
      <c r="D1" s="20" t="s">
        <v>100</v>
      </c>
      <c r="E1" s="20" t="s">
        <v>101</v>
      </c>
      <c r="F1" s="20" t="s">
        <v>102</v>
      </c>
      <c r="G1" s="20" t="s">
        <v>103</v>
      </c>
      <c r="H1" s="20" t="s">
        <v>104</v>
      </c>
      <c r="I1" s="20" t="s">
        <v>105</v>
      </c>
      <c r="J1" s="20" t="s">
        <v>106</v>
      </c>
      <c r="K1" s="20" t="s">
        <v>107</v>
      </c>
      <c r="L1" s="20" t="s">
        <v>108</v>
      </c>
      <c r="M1" s="20" t="s">
        <v>109</v>
      </c>
      <c r="N1" s="20" t="s">
        <v>14</v>
      </c>
    </row>
    <row r="2" ht="22.5" customHeight="1">
      <c r="A2" s="50" t="s">
        <v>110</v>
      </c>
      <c r="B2" s="51">
        <v>500.0</v>
      </c>
      <c r="C2" s="51">
        <v>500.0</v>
      </c>
      <c r="D2" s="51">
        <v>500.0</v>
      </c>
      <c r="E2" s="51">
        <v>500.0</v>
      </c>
      <c r="F2" s="52"/>
      <c r="G2" s="52"/>
      <c r="H2" s="52"/>
      <c r="I2" s="51">
        <v>500.0</v>
      </c>
      <c r="J2" s="51">
        <v>500.0</v>
      </c>
      <c r="K2" s="51">
        <v>500.0</v>
      </c>
      <c r="L2" s="51">
        <v>500.0</v>
      </c>
      <c r="M2" s="51">
        <v>500.0</v>
      </c>
      <c r="N2" s="52">
        <f t="shared" ref="N2:N24" si="1">sum(B2:M2)</f>
        <v>4500</v>
      </c>
    </row>
    <row r="3" ht="22.5" customHeight="1">
      <c r="A3" s="50" t="s">
        <v>111</v>
      </c>
      <c r="B3" s="51">
        <v>500.0</v>
      </c>
      <c r="C3" s="51">
        <v>500.0</v>
      </c>
      <c r="D3" s="51">
        <v>500.0</v>
      </c>
      <c r="E3" s="52"/>
      <c r="F3" s="51">
        <v>1000.0</v>
      </c>
      <c r="G3" s="52"/>
      <c r="H3" s="51">
        <v>500.0</v>
      </c>
      <c r="I3" s="52"/>
      <c r="J3" s="52"/>
      <c r="K3" s="51">
        <v>1000.0</v>
      </c>
      <c r="L3" s="52"/>
      <c r="M3" s="51">
        <v>500.0</v>
      </c>
      <c r="N3" s="52">
        <f t="shared" si="1"/>
        <v>4500</v>
      </c>
    </row>
    <row r="4" ht="22.5" customHeight="1">
      <c r="A4" s="50" t="s">
        <v>112</v>
      </c>
      <c r="B4" s="51">
        <v>500.0</v>
      </c>
      <c r="C4" s="51">
        <v>500.0</v>
      </c>
      <c r="D4" s="51">
        <v>500.0</v>
      </c>
      <c r="E4" s="51">
        <v>500.0</v>
      </c>
      <c r="F4" s="51">
        <v>500.0</v>
      </c>
      <c r="G4" s="51">
        <v>500.0</v>
      </c>
      <c r="H4" s="51">
        <v>500.0</v>
      </c>
      <c r="I4" s="51">
        <v>500.0</v>
      </c>
      <c r="J4" s="51">
        <v>500.0</v>
      </c>
      <c r="K4" s="51">
        <v>500.0</v>
      </c>
      <c r="L4" s="51">
        <v>500.0</v>
      </c>
      <c r="M4" s="51">
        <v>500.0</v>
      </c>
      <c r="N4" s="52">
        <f t="shared" si="1"/>
        <v>6000</v>
      </c>
    </row>
    <row r="5" ht="22.5" customHeight="1">
      <c r="A5" s="50" t="s">
        <v>29</v>
      </c>
      <c r="B5" s="52"/>
      <c r="C5" s="52"/>
      <c r="D5" s="52"/>
      <c r="E5" s="51">
        <v>1000.0</v>
      </c>
      <c r="F5" s="51">
        <v>1000.0</v>
      </c>
      <c r="G5" s="52"/>
      <c r="H5" s="51">
        <v>1000.0</v>
      </c>
      <c r="I5" s="51">
        <v>1000.0</v>
      </c>
      <c r="J5" s="52"/>
      <c r="K5" s="51">
        <v>1000.0</v>
      </c>
      <c r="L5" s="51">
        <v>1000.0</v>
      </c>
      <c r="M5" s="52"/>
      <c r="N5" s="52">
        <f t="shared" si="1"/>
        <v>6000</v>
      </c>
    </row>
    <row r="6" ht="22.5" customHeight="1">
      <c r="A6" s="50" t="s">
        <v>30</v>
      </c>
      <c r="B6" s="52"/>
      <c r="C6" s="51">
        <v>3000.0</v>
      </c>
      <c r="D6" s="52"/>
      <c r="E6" s="52"/>
      <c r="F6" s="52"/>
      <c r="G6" s="52"/>
      <c r="H6" s="52"/>
      <c r="I6" s="52"/>
      <c r="J6" s="52"/>
      <c r="K6" s="51">
        <v>2000.0</v>
      </c>
      <c r="L6" s="52"/>
      <c r="M6" s="52"/>
      <c r="N6" s="52">
        <f t="shared" si="1"/>
        <v>5000</v>
      </c>
    </row>
    <row r="7" ht="22.5" customHeight="1">
      <c r="A7" s="50" t="s">
        <v>125</v>
      </c>
      <c r="B7" s="52"/>
      <c r="C7" s="52"/>
      <c r="D7" s="52"/>
      <c r="E7" s="52"/>
      <c r="F7" s="52"/>
      <c r="G7" s="52"/>
      <c r="H7" s="52"/>
      <c r="I7" s="52"/>
      <c r="J7" s="52"/>
      <c r="K7" s="52"/>
      <c r="L7" s="52"/>
      <c r="M7" s="52"/>
      <c r="N7" s="52">
        <f t="shared" si="1"/>
        <v>0</v>
      </c>
    </row>
    <row r="8" ht="22.5" customHeight="1">
      <c r="A8" s="50" t="s">
        <v>113</v>
      </c>
      <c r="B8" s="52"/>
      <c r="C8" s="51">
        <v>1000.0</v>
      </c>
      <c r="D8" s="52"/>
      <c r="E8" s="51">
        <v>1000.0</v>
      </c>
      <c r="F8" s="52"/>
      <c r="G8" s="51">
        <v>800.0</v>
      </c>
      <c r="H8" s="51">
        <v>500.0</v>
      </c>
      <c r="I8" s="51">
        <v>500.0</v>
      </c>
      <c r="J8" s="51">
        <v>500.0</v>
      </c>
      <c r="K8" s="51">
        <v>500.0</v>
      </c>
      <c r="L8" s="51">
        <v>500.0</v>
      </c>
      <c r="M8" s="51">
        <v>500.0</v>
      </c>
      <c r="N8" s="52">
        <f t="shared" si="1"/>
        <v>5800</v>
      </c>
    </row>
    <row r="9" ht="22.5" customHeight="1">
      <c r="A9" s="50" t="s">
        <v>114</v>
      </c>
      <c r="B9" s="51">
        <v>1000.0</v>
      </c>
      <c r="C9" s="52"/>
      <c r="D9" s="51">
        <v>1000.0</v>
      </c>
      <c r="E9" s="52"/>
      <c r="F9" s="51">
        <v>500.0</v>
      </c>
      <c r="G9" s="52"/>
      <c r="H9" s="51">
        <v>1000.0</v>
      </c>
      <c r="I9" s="51">
        <v>500.0</v>
      </c>
      <c r="J9" s="52"/>
      <c r="K9" s="51">
        <v>500.0</v>
      </c>
      <c r="L9" s="52"/>
      <c r="M9" s="51">
        <v>1500.0</v>
      </c>
      <c r="N9" s="52">
        <f t="shared" si="1"/>
        <v>6000</v>
      </c>
    </row>
    <row r="10" ht="22.5" customHeight="1">
      <c r="A10" s="50" t="s">
        <v>115</v>
      </c>
      <c r="B10" s="52"/>
      <c r="C10" s="52"/>
      <c r="D10" s="52"/>
      <c r="E10" s="52"/>
      <c r="F10" s="52"/>
      <c r="G10" s="52"/>
      <c r="H10" s="52"/>
      <c r="I10" s="52"/>
      <c r="J10" s="52"/>
      <c r="K10" s="52"/>
      <c r="L10" s="52"/>
      <c r="M10" s="52"/>
      <c r="N10" s="52">
        <f t="shared" si="1"/>
        <v>0</v>
      </c>
    </row>
    <row r="11" ht="22.5" customHeight="1">
      <c r="A11" s="50" t="s">
        <v>35</v>
      </c>
      <c r="B11" s="51">
        <v>500.0</v>
      </c>
      <c r="C11" s="51">
        <v>500.0</v>
      </c>
      <c r="D11" s="51">
        <v>500.0</v>
      </c>
      <c r="E11" s="51">
        <v>500.0</v>
      </c>
      <c r="F11" s="51">
        <v>500.0</v>
      </c>
      <c r="G11" s="51">
        <v>500.0</v>
      </c>
      <c r="H11" s="51">
        <v>500.0</v>
      </c>
      <c r="I11" s="51">
        <v>500.0</v>
      </c>
      <c r="J11" s="51">
        <v>500.0</v>
      </c>
      <c r="K11" s="51">
        <v>500.0</v>
      </c>
      <c r="L11" s="51">
        <v>500.0</v>
      </c>
      <c r="M11" s="51">
        <v>500.0</v>
      </c>
      <c r="N11" s="52">
        <f t="shared" si="1"/>
        <v>6000</v>
      </c>
    </row>
    <row r="12" ht="22.5" customHeight="1">
      <c r="A12" s="50" t="s">
        <v>126</v>
      </c>
      <c r="B12" s="52"/>
      <c r="C12" s="51">
        <v>1000.0</v>
      </c>
      <c r="D12" s="51">
        <v>500.0</v>
      </c>
      <c r="E12" s="51">
        <v>500.0</v>
      </c>
      <c r="F12" s="51">
        <v>500.0</v>
      </c>
      <c r="G12" s="51">
        <v>500.0</v>
      </c>
      <c r="H12" s="51">
        <v>500.0</v>
      </c>
      <c r="I12" s="51">
        <v>500.0</v>
      </c>
      <c r="J12" s="51">
        <v>500.0</v>
      </c>
      <c r="K12" s="51">
        <v>500.0</v>
      </c>
      <c r="L12" s="51">
        <v>500.0</v>
      </c>
      <c r="M12" s="51">
        <v>500.0</v>
      </c>
      <c r="N12" s="52">
        <f t="shared" si="1"/>
        <v>6000</v>
      </c>
    </row>
    <row r="13" ht="22.5" customHeight="1">
      <c r="A13" s="50" t="s">
        <v>37</v>
      </c>
      <c r="B13" s="52"/>
      <c r="C13" s="51">
        <v>1000.0</v>
      </c>
      <c r="D13" s="52"/>
      <c r="E13" s="52"/>
      <c r="F13" s="52"/>
      <c r="G13" s="52"/>
      <c r="H13" s="52"/>
      <c r="I13" s="52"/>
      <c r="J13" s="52"/>
      <c r="K13" s="52"/>
      <c r="L13" s="52"/>
      <c r="M13" s="52"/>
      <c r="N13" s="52">
        <f t="shared" si="1"/>
        <v>1000</v>
      </c>
    </row>
    <row r="14" ht="22.5" customHeight="1">
      <c r="A14" s="50" t="s">
        <v>38</v>
      </c>
      <c r="B14" s="51">
        <v>500.0</v>
      </c>
      <c r="C14" s="51">
        <v>500.0</v>
      </c>
      <c r="D14" s="51">
        <v>500.0</v>
      </c>
      <c r="E14" s="51">
        <v>500.0</v>
      </c>
      <c r="F14" s="51">
        <v>500.0</v>
      </c>
      <c r="G14" s="51">
        <v>500.0</v>
      </c>
      <c r="H14" s="51">
        <v>500.0</v>
      </c>
      <c r="I14" s="51">
        <v>500.0</v>
      </c>
      <c r="J14" s="51">
        <v>500.0</v>
      </c>
      <c r="K14" s="51">
        <v>500.0</v>
      </c>
      <c r="L14" s="51">
        <v>500.0</v>
      </c>
      <c r="M14" s="51">
        <v>500.0</v>
      </c>
      <c r="N14" s="52">
        <f t="shared" si="1"/>
        <v>6000</v>
      </c>
    </row>
    <row r="15" ht="22.5" customHeight="1">
      <c r="A15" s="50" t="s">
        <v>39</v>
      </c>
      <c r="B15" s="52"/>
      <c r="C15" s="52"/>
      <c r="D15" s="52"/>
      <c r="E15" s="52"/>
      <c r="F15" s="52"/>
      <c r="G15" s="52"/>
      <c r="H15" s="52"/>
      <c r="I15" s="52"/>
      <c r="J15" s="52"/>
      <c r="K15" s="52"/>
      <c r="L15" s="52"/>
      <c r="M15" s="52"/>
      <c r="N15" s="52">
        <f t="shared" si="1"/>
        <v>0</v>
      </c>
    </row>
    <row r="16" ht="22.5" customHeight="1">
      <c r="A16" s="50" t="s">
        <v>40</v>
      </c>
      <c r="B16" s="52"/>
      <c r="C16" s="51">
        <v>1000.0</v>
      </c>
      <c r="D16" s="51">
        <v>500.0</v>
      </c>
      <c r="E16" s="51">
        <v>500.0</v>
      </c>
      <c r="F16" s="51">
        <v>500.0</v>
      </c>
      <c r="G16" s="51">
        <v>500.0</v>
      </c>
      <c r="H16" s="51">
        <v>500.0</v>
      </c>
      <c r="I16" s="51">
        <v>500.0</v>
      </c>
      <c r="J16" s="52"/>
      <c r="K16" s="51">
        <v>1000.0</v>
      </c>
      <c r="L16" s="51">
        <v>500.0</v>
      </c>
      <c r="M16" s="51">
        <v>500.0</v>
      </c>
      <c r="N16" s="52">
        <f t="shared" si="1"/>
        <v>6000</v>
      </c>
    </row>
    <row r="17" ht="22.5" customHeight="1">
      <c r="A17" s="50" t="s">
        <v>127</v>
      </c>
      <c r="B17" s="52"/>
      <c r="C17" s="52"/>
      <c r="D17" s="52"/>
      <c r="E17" s="51">
        <v>4400.0</v>
      </c>
      <c r="F17" s="52"/>
      <c r="G17" s="52"/>
      <c r="H17" s="52"/>
      <c r="I17" s="52"/>
      <c r="J17" s="52"/>
      <c r="K17" s="52"/>
      <c r="L17" s="52"/>
      <c r="M17" s="52"/>
      <c r="N17" s="52">
        <f t="shared" si="1"/>
        <v>4400</v>
      </c>
    </row>
    <row r="18" ht="22.5" customHeight="1">
      <c r="A18" s="50" t="s">
        <v>42</v>
      </c>
      <c r="B18" s="51">
        <v>500.0</v>
      </c>
      <c r="C18" s="51">
        <v>500.0</v>
      </c>
      <c r="D18" s="51">
        <v>500.0</v>
      </c>
      <c r="E18" s="51">
        <v>500.0</v>
      </c>
      <c r="F18" s="51">
        <v>500.0</v>
      </c>
      <c r="G18" s="51">
        <v>500.0</v>
      </c>
      <c r="H18" s="51">
        <v>500.0</v>
      </c>
      <c r="I18" s="51">
        <v>500.0</v>
      </c>
      <c r="J18" s="51">
        <v>500.0</v>
      </c>
      <c r="K18" s="51">
        <v>500.0</v>
      </c>
      <c r="L18" s="51">
        <v>500.0</v>
      </c>
      <c r="M18" s="51">
        <v>500.0</v>
      </c>
      <c r="N18" s="52">
        <f t="shared" si="1"/>
        <v>6000</v>
      </c>
    </row>
    <row r="19" ht="22.5" customHeight="1">
      <c r="A19" s="50" t="s">
        <v>130</v>
      </c>
      <c r="B19" s="51">
        <v>1000.0</v>
      </c>
      <c r="C19" s="52"/>
      <c r="D19" s="52"/>
      <c r="E19" s="51">
        <v>1000.0</v>
      </c>
      <c r="F19" s="51">
        <v>500.0</v>
      </c>
      <c r="G19" s="51">
        <v>500.0</v>
      </c>
      <c r="H19" s="52"/>
      <c r="I19" s="52"/>
      <c r="J19" s="51">
        <v>1000.0</v>
      </c>
      <c r="K19" s="51">
        <v>1000.0</v>
      </c>
      <c r="L19" s="52"/>
      <c r="M19" s="51">
        <v>1000.0</v>
      </c>
      <c r="N19" s="52">
        <f t="shared" si="1"/>
        <v>6000</v>
      </c>
    </row>
    <row r="20" ht="22.5" customHeight="1">
      <c r="A20" s="22" t="s">
        <v>44</v>
      </c>
      <c r="B20" s="51">
        <v>1000.0</v>
      </c>
      <c r="C20" s="51">
        <v>1000.0</v>
      </c>
      <c r="D20" s="51">
        <v>1000.0</v>
      </c>
      <c r="E20" s="51">
        <v>1000.0</v>
      </c>
      <c r="F20" s="51">
        <v>500.0</v>
      </c>
      <c r="G20" s="51">
        <v>500.0</v>
      </c>
      <c r="H20" s="51">
        <v>500.0</v>
      </c>
      <c r="I20" s="51">
        <v>500.0</v>
      </c>
      <c r="J20" s="51">
        <v>500.0</v>
      </c>
      <c r="K20" s="51">
        <v>500.0</v>
      </c>
      <c r="L20" s="51">
        <v>500.0</v>
      </c>
      <c r="M20" s="51">
        <v>500.0</v>
      </c>
      <c r="N20" s="52">
        <f t="shared" si="1"/>
        <v>8000</v>
      </c>
    </row>
    <row r="21" ht="22.5" customHeight="1">
      <c r="A21" s="22" t="s">
        <v>45</v>
      </c>
      <c r="B21" s="52"/>
      <c r="C21" s="52"/>
      <c r="D21" s="52"/>
      <c r="E21" s="51">
        <v>500.0</v>
      </c>
      <c r="F21" s="51">
        <v>500.0</v>
      </c>
      <c r="G21" s="52"/>
      <c r="H21" s="51">
        <v>1000.0</v>
      </c>
      <c r="I21" s="52"/>
      <c r="J21" s="52"/>
      <c r="K21" s="52"/>
      <c r="L21" s="52"/>
      <c r="M21" s="52"/>
      <c r="N21" s="52">
        <f t="shared" si="1"/>
        <v>2000</v>
      </c>
    </row>
    <row r="22" ht="22.5" customHeight="1">
      <c r="A22" s="22" t="s">
        <v>46</v>
      </c>
      <c r="B22" s="51">
        <v>500.0</v>
      </c>
      <c r="C22" s="51">
        <v>500.0</v>
      </c>
      <c r="D22" s="51">
        <v>500.0</v>
      </c>
      <c r="E22" s="51">
        <v>500.0</v>
      </c>
      <c r="F22" s="51">
        <v>500.0</v>
      </c>
      <c r="G22" s="51">
        <v>500.0</v>
      </c>
      <c r="H22" s="52"/>
      <c r="I22" s="52"/>
      <c r="J22" s="52"/>
      <c r="K22" s="51">
        <v>2500.0</v>
      </c>
      <c r="L22" s="52"/>
      <c r="M22" s="52"/>
      <c r="N22" s="52">
        <f t="shared" si="1"/>
        <v>5500</v>
      </c>
    </row>
    <row r="23" ht="22.5" customHeight="1">
      <c r="A23" s="22" t="s">
        <v>132</v>
      </c>
      <c r="B23" s="51">
        <v>1000.0</v>
      </c>
      <c r="C23" s="52"/>
      <c r="D23" s="52"/>
      <c r="E23" s="51">
        <v>1000.0</v>
      </c>
      <c r="F23" s="52"/>
      <c r="G23" s="52"/>
      <c r="H23" s="51">
        <v>1000.0</v>
      </c>
      <c r="I23" s="51">
        <v>1000.0</v>
      </c>
      <c r="J23" s="52"/>
      <c r="K23" s="51">
        <v>500.0</v>
      </c>
      <c r="L23" s="52"/>
      <c r="M23" s="51">
        <v>500.0</v>
      </c>
      <c r="N23" s="52">
        <f t="shared" si="1"/>
        <v>5000</v>
      </c>
    </row>
    <row r="24" ht="22.5" customHeight="1">
      <c r="A24" s="54" t="s">
        <v>124</v>
      </c>
      <c r="B24" s="51">
        <v>666.0</v>
      </c>
      <c r="C24" s="51">
        <f>600+2400</f>
        <v>3000</v>
      </c>
      <c r="D24" s="52">
        <f>600+600+1238</f>
        <v>2438</v>
      </c>
      <c r="E24" s="52">
        <f>600+600</f>
        <v>1200</v>
      </c>
      <c r="F24" s="52">
        <f>600</f>
        <v>600</v>
      </c>
      <c r="G24" s="52">
        <f>600+1200+1355</f>
        <v>3155</v>
      </c>
      <c r="H24" s="52">
        <f t="shared" ref="H24:I24" si="2">600+600</f>
        <v>1200</v>
      </c>
      <c r="I24" s="52">
        <f t="shared" si="2"/>
        <v>1200</v>
      </c>
      <c r="J24" s="52">
        <f>600+600+1463</f>
        <v>2663</v>
      </c>
      <c r="K24" s="52">
        <f t="shared" ref="K24:L24" si="3">600+600</f>
        <v>1200</v>
      </c>
      <c r="L24" s="52">
        <f t="shared" si="3"/>
        <v>1200</v>
      </c>
      <c r="M24" s="51">
        <f>600+600+1409</f>
        <v>2609</v>
      </c>
      <c r="N24" s="52">
        <f t="shared" si="1"/>
        <v>21131</v>
      </c>
    </row>
    <row r="25" ht="22.5" customHeight="1">
      <c r="A25" s="51" t="s">
        <v>14</v>
      </c>
      <c r="B25" s="52">
        <f t="shared" ref="B25:N25" si="4">sum(B2:B24)</f>
        <v>8166</v>
      </c>
      <c r="C25" s="52">
        <f t="shared" si="4"/>
        <v>14500</v>
      </c>
      <c r="D25" s="52">
        <f t="shared" si="4"/>
        <v>8938</v>
      </c>
      <c r="E25" s="52">
        <f t="shared" si="4"/>
        <v>15100</v>
      </c>
      <c r="F25" s="52">
        <f t="shared" si="4"/>
        <v>8100</v>
      </c>
      <c r="G25" s="52">
        <f t="shared" si="4"/>
        <v>8455</v>
      </c>
      <c r="H25" s="52">
        <f t="shared" si="4"/>
        <v>9700</v>
      </c>
      <c r="I25" s="52">
        <f t="shared" si="4"/>
        <v>8200</v>
      </c>
      <c r="J25" s="52">
        <f t="shared" si="4"/>
        <v>7663</v>
      </c>
      <c r="K25" s="52">
        <f t="shared" si="4"/>
        <v>14700</v>
      </c>
      <c r="L25" s="52">
        <f t="shared" si="4"/>
        <v>6700</v>
      </c>
      <c r="M25" s="52">
        <f t="shared" si="4"/>
        <v>10609</v>
      </c>
      <c r="N25" s="52">
        <f t="shared" si="4"/>
        <v>120831</v>
      </c>
      <c r="O25" s="56">
        <f>90522-17322</f>
        <v>73200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6.0"/>
    <col customWidth="1" min="3" max="3" width="5.0"/>
    <col customWidth="1" min="4" max="4" width="8.38"/>
    <col customWidth="1" min="5" max="5" width="8.13"/>
    <col customWidth="1" min="6" max="6" width="8.63"/>
    <col customWidth="1" min="7" max="7" width="6.0"/>
    <col customWidth="1" min="8" max="8" width="8.5"/>
    <col customWidth="1" min="9" max="9" width="8.13"/>
    <col customWidth="1" min="10" max="10" width="7.13"/>
    <col customWidth="1" min="11" max="11" width="8.88"/>
    <col customWidth="1" min="12" max="13" width="8.38"/>
    <col customWidth="1" min="21" max="21" width="22.38"/>
    <col customWidth="1" min="22" max="22" width="6.63"/>
  </cols>
  <sheetData>
    <row r="1" ht="22.5" customHeight="1">
      <c r="A1" s="20" t="s">
        <v>13</v>
      </c>
      <c r="B1" s="20" t="s">
        <v>98</v>
      </c>
      <c r="C1" s="20" t="s">
        <v>99</v>
      </c>
      <c r="D1" s="20" t="s">
        <v>100</v>
      </c>
      <c r="E1" s="20" t="s">
        <v>101</v>
      </c>
      <c r="F1" s="20" t="s">
        <v>102</v>
      </c>
      <c r="G1" s="20" t="s">
        <v>103</v>
      </c>
      <c r="H1" s="20" t="s">
        <v>104</v>
      </c>
      <c r="I1" s="20" t="s">
        <v>105</v>
      </c>
      <c r="J1" s="20" t="s">
        <v>106</v>
      </c>
      <c r="K1" s="20" t="s">
        <v>107</v>
      </c>
      <c r="L1" s="20" t="s">
        <v>108</v>
      </c>
      <c r="M1" s="20" t="s">
        <v>109</v>
      </c>
      <c r="N1" s="20" t="s">
        <v>14</v>
      </c>
      <c r="O1" s="58"/>
      <c r="P1" s="59"/>
      <c r="R1" s="59"/>
      <c r="U1" s="60"/>
    </row>
    <row r="2" ht="22.5" customHeight="1">
      <c r="A2" s="50" t="s">
        <v>110</v>
      </c>
      <c r="B2" s="51">
        <v>500.0</v>
      </c>
      <c r="C2" s="51">
        <v>500.0</v>
      </c>
      <c r="D2" s="51">
        <v>500.0</v>
      </c>
      <c r="E2" s="52"/>
      <c r="F2" s="51">
        <v>2000.0</v>
      </c>
      <c r="G2" s="52"/>
      <c r="H2" s="52"/>
      <c r="I2" s="52"/>
      <c r="J2" s="52"/>
      <c r="K2" s="51">
        <v>500.0</v>
      </c>
      <c r="L2" s="51">
        <v>500.0</v>
      </c>
      <c r="M2" s="51">
        <v>1000.0</v>
      </c>
      <c r="N2" s="52">
        <f t="shared" ref="N2:N24" si="1">sum(B2:M2)</f>
        <v>5500</v>
      </c>
      <c r="O2" s="58"/>
      <c r="P2" s="58"/>
      <c r="Q2" s="58"/>
      <c r="R2" s="58"/>
      <c r="S2" s="58"/>
      <c r="U2" s="58"/>
      <c r="V2" s="58"/>
    </row>
    <row r="3" ht="22.5" customHeight="1">
      <c r="A3" s="61" t="s">
        <v>111</v>
      </c>
      <c r="B3" s="52"/>
      <c r="C3" s="52"/>
      <c r="D3" s="52"/>
      <c r="E3" s="51">
        <v>500.0</v>
      </c>
      <c r="F3" s="51">
        <v>500.0</v>
      </c>
      <c r="G3" s="52"/>
      <c r="H3" s="52"/>
      <c r="I3" s="51">
        <v>1000.0</v>
      </c>
      <c r="J3" s="52"/>
      <c r="K3" s="51">
        <v>500.0</v>
      </c>
      <c r="L3" s="51">
        <v>1000.0</v>
      </c>
      <c r="M3" s="51">
        <v>500.0</v>
      </c>
      <c r="N3" s="52">
        <f t="shared" si="1"/>
        <v>4000</v>
      </c>
      <c r="O3" s="58"/>
      <c r="P3" s="59"/>
      <c r="Q3" s="59"/>
      <c r="R3" s="59"/>
      <c r="S3" s="59"/>
      <c r="U3" s="60"/>
      <c r="V3" s="60"/>
    </row>
    <row r="4" ht="22.5" customHeight="1">
      <c r="A4" s="61" t="s">
        <v>112</v>
      </c>
      <c r="B4" s="51">
        <v>500.0</v>
      </c>
      <c r="C4" s="51">
        <v>500.0</v>
      </c>
      <c r="D4" s="51">
        <v>500.0</v>
      </c>
      <c r="E4" s="51">
        <v>500.0</v>
      </c>
      <c r="F4" s="51">
        <v>500.0</v>
      </c>
      <c r="G4" s="51">
        <v>500.0</v>
      </c>
      <c r="H4" s="51">
        <v>500.0</v>
      </c>
      <c r="I4" s="51">
        <v>500.0</v>
      </c>
      <c r="J4" s="51">
        <v>500.0</v>
      </c>
      <c r="K4" s="51">
        <v>500.0</v>
      </c>
      <c r="L4" s="51">
        <v>500.0</v>
      </c>
      <c r="M4" s="51">
        <v>500.0</v>
      </c>
      <c r="N4" s="52">
        <f t="shared" si="1"/>
        <v>6000</v>
      </c>
      <c r="O4" s="58"/>
      <c r="P4" s="59"/>
      <c r="Q4" s="59"/>
      <c r="R4" s="62"/>
      <c r="S4" s="59"/>
      <c r="U4" s="60"/>
      <c r="V4" s="60"/>
    </row>
    <row r="5" ht="22.5" customHeight="1">
      <c r="A5" s="61" t="s">
        <v>29</v>
      </c>
      <c r="B5" s="52"/>
      <c r="C5" s="52"/>
      <c r="D5" s="51">
        <v>500.0</v>
      </c>
      <c r="E5" s="52"/>
      <c r="F5" s="51">
        <v>500.0</v>
      </c>
      <c r="G5" s="51">
        <v>500.0</v>
      </c>
      <c r="H5" s="51">
        <v>1000.0</v>
      </c>
      <c r="I5" s="52"/>
      <c r="J5" s="52"/>
      <c r="K5" s="51">
        <v>500.0</v>
      </c>
      <c r="L5" s="52"/>
      <c r="M5" s="52"/>
      <c r="N5" s="52">
        <f t="shared" si="1"/>
        <v>3000</v>
      </c>
      <c r="O5" s="58"/>
      <c r="P5" s="59"/>
      <c r="Q5" s="59"/>
      <c r="R5" s="62"/>
      <c r="S5" s="59"/>
    </row>
    <row r="6" ht="22.5" customHeight="1">
      <c r="A6" s="61" t="s">
        <v>30</v>
      </c>
      <c r="B6" s="52"/>
      <c r="C6" s="52"/>
      <c r="D6" s="51">
        <v>500.0</v>
      </c>
      <c r="E6" s="51">
        <v>500.0</v>
      </c>
      <c r="F6" s="51">
        <v>1000.0</v>
      </c>
      <c r="G6" s="52"/>
      <c r="H6" s="51">
        <v>2000.0</v>
      </c>
      <c r="I6" s="52"/>
      <c r="J6" s="52"/>
      <c r="K6" s="52"/>
      <c r="L6" s="52"/>
      <c r="M6" s="52"/>
      <c r="N6" s="52">
        <f t="shared" si="1"/>
        <v>4000</v>
      </c>
      <c r="O6" s="58"/>
      <c r="P6" s="59"/>
      <c r="Q6" s="59"/>
      <c r="R6" s="62"/>
      <c r="S6" s="59"/>
      <c r="U6" s="60"/>
      <c r="V6" s="60"/>
    </row>
    <row r="7" ht="22.5" customHeight="1">
      <c r="A7" s="61" t="s">
        <v>125</v>
      </c>
      <c r="B7" s="52"/>
      <c r="C7" s="52"/>
      <c r="D7" s="52"/>
      <c r="E7" s="52"/>
      <c r="F7" s="52"/>
      <c r="G7" s="52"/>
      <c r="H7" s="51">
        <v>6000.0</v>
      </c>
      <c r="I7" s="52"/>
      <c r="J7" s="52"/>
      <c r="K7" s="52"/>
      <c r="L7" s="52"/>
      <c r="M7" s="52"/>
      <c r="N7" s="52">
        <f t="shared" si="1"/>
        <v>6000</v>
      </c>
      <c r="O7" s="58"/>
      <c r="P7" s="59"/>
      <c r="Q7" s="59"/>
      <c r="R7" s="58"/>
      <c r="S7" s="59"/>
      <c r="U7" s="60"/>
      <c r="V7" s="60"/>
    </row>
    <row r="8" ht="22.5" customHeight="1">
      <c r="A8" s="61" t="s">
        <v>113</v>
      </c>
      <c r="B8" s="51">
        <v>1000.0</v>
      </c>
      <c r="C8" s="52"/>
      <c r="D8" s="51">
        <v>1000.0</v>
      </c>
      <c r="E8" s="51">
        <v>1000.0</v>
      </c>
      <c r="F8" s="51">
        <v>500.0</v>
      </c>
      <c r="G8" s="52"/>
      <c r="H8" s="51">
        <v>1400.0</v>
      </c>
      <c r="I8" s="52"/>
      <c r="J8" s="52"/>
      <c r="K8" s="52"/>
      <c r="L8" s="51">
        <v>1000.0</v>
      </c>
      <c r="M8" s="51">
        <v>1000.0</v>
      </c>
      <c r="N8" s="52">
        <f t="shared" si="1"/>
        <v>6900</v>
      </c>
      <c r="O8" s="58"/>
      <c r="P8" s="59"/>
      <c r="Q8" s="59"/>
      <c r="R8" s="58"/>
      <c r="S8" s="59"/>
      <c r="U8" s="60"/>
      <c r="V8" s="60"/>
    </row>
    <row r="9" ht="22.5" customHeight="1">
      <c r="A9" s="61" t="s">
        <v>114</v>
      </c>
      <c r="B9" s="51">
        <v>500.0</v>
      </c>
      <c r="C9" s="51">
        <v>500.0</v>
      </c>
      <c r="D9" s="51">
        <v>500.0</v>
      </c>
      <c r="E9" s="51">
        <v>500.0</v>
      </c>
      <c r="F9" s="51">
        <v>500.0</v>
      </c>
      <c r="G9" s="52"/>
      <c r="H9" s="52"/>
      <c r="I9" s="51">
        <v>1000.0</v>
      </c>
      <c r="J9" s="51">
        <v>500.0</v>
      </c>
      <c r="K9" s="51">
        <v>500.0</v>
      </c>
      <c r="L9" s="51">
        <v>500.0</v>
      </c>
      <c r="M9" s="52"/>
      <c r="N9" s="52">
        <f t="shared" si="1"/>
        <v>5000</v>
      </c>
      <c r="O9" s="58"/>
      <c r="P9" s="58"/>
      <c r="Q9" s="58"/>
      <c r="R9" s="58"/>
      <c r="S9" s="58"/>
      <c r="U9" s="63"/>
    </row>
    <row r="10" ht="22.5" customHeight="1">
      <c r="A10" s="61" t="s">
        <v>115</v>
      </c>
      <c r="B10" s="52"/>
      <c r="C10" s="52"/>
      <c r="D10" s="52"/>
      <c r="E10" s="52"/>
      <c r="F10" s="52"/>
      <c r="G10" s="52"/>
      <c r="H10" s="52"/>
      <c r="I10" s="52"/>
      <c r="J10" s="52"/>
      <c r="K10" s="52"/>
      <c r="L10" s="52"/>
      <c r="M10" s="52"/>
      <c r="N10" s="52">
        <f t="shared" si="1"/>
        <v>0</v>
      </c>
      <c r="O10" s="58"/>
      <c r="P10" s="64"/>
      <c r="S10" s="58"/>
    </row>
    <row r="11" ht="22.5" customHeight="1">
      <c r="A11" s="61" t="s">
        <v>35</v>
      </c>
      <c r="B11" s="51">
        <v>500.0</v>
      </c>
      <c r="C11" s="51">
        <v>500.0</v>
      </c>
      <c r="D11" s="51">
        <v>500.0</v>
      </c>
      <c r="E11" s="51">
        <v>500.0</v>
      </c>
      <c r="F11" s="51">
        <v>500.0</v>
      </c>
      <c r="G11" s="51">
        <v>500.0</v>
      </c>
      <c r="H11" s="51">
        <v>500.0</v>
      </c>
      <c r="I11" s="51">
        <v>500.0</v>
      </c>
      <c r="J11" s="51">
        <v>500.0</v>
      </c>
      <c r="K11" s="51">
        <v>500.0</v>
      </c>
      <c r="L11" s="51">
        <v>500.0</v>
      </c>
      <c r="M11" s="51">
        <v>500.0</v>
      </c>
      <c r="N11" s="52">
        <f t="shared" si="1"/>
        <v>6000</v>
      </c>
      <c r="O11" s="58"/>
      <c r="P11" s="60"/>
      <c r="Q11" s="60"/>
      <c r="R11" s="60"/>
      <c r="S11" s="58"/>
    </row>
    <row r="12" ht="22.5" customHeight="1">
      <c r="A12" s="61" t="s">
        <v>126</v>
      </c>
      <c r="B12" s="52"/>
      <c r="C12" s="52"/>
      <c r="D12" s="51">
        <v>10000.0</v>
      </c>
      <c r="E12" s="52"/>
      <c r="F12" s="52"/>
      <c r="G12" s="52"/>
      <c r="H12" s="52"/>
      <c r="I12" s="52"/>
      <c r="J12" s="52"/>
      <c r="K12" s="52"/>
      <c r="L12" s="52"/>
      <c r="M12" s="51">
        <v>2000.0</v>
      </c>
      <c r="N12" s="52">
        <f t="shared" si="1"/>
        <v>12000</v>
      </c>
      <c r="O12" s="58"/>
      <c r="P12" s="60"/>
      <c r="Q12" s="60"/>
      <c r="R12" s="60"/>
      <c r="S12" s="58"/>
    </row>
    <row r="13" ht="22.5" customHeight="1">
      <c r="A13" s="61" t="s">
        <v>37</v>
      </c>
      <c r="B13" s="51">
        <v>1000.0</v>
      </c>
      <c r="C13" s="52"/>
      <c r="D13" s="52"/>
      <c r="E13" s="52"/>
      <c r="F13" s="52"/>
      <c r="G13" s="52"/>
      <c r="H13" s="52"/>
      <c r="I13" s="52"/>
      <c r="J13" s="52"/>
      <c r="K13" s="51">
        <v>1000.0</v>
      </c>
      <c r="L13" s="52"/>
      <c r="M13" s="52"/>
      <c r="N13" s="52">
        <f t="shared" si="1"/>
        <v>2000</v>
      </c>
      <c r="O13" s="58"/>
      <c r="P13" s="60"/>
      <c r="Q13" s="60"/>
      <c r="R13" s="60"/>
      <c r="S13" s="58"/>
    </row>
    <row r="14" ht="22.5" customHeight="1">
      <c r="A14" s="61" t="s">
        <v>38</v>
      </c>
      <c r="B14" s="51">
        <v>500.0</v>
      </c>
      <c r="C14" s="51">
        <v>500.0</v>
      </c>
      <c r="D14" s="51">
        <v>500.0</v>
      </c>
      <c r="E14" s="51">
        <v>500.0</v>
      </c>
      <c r="F14" s="51">
        <v>500.0</v>
      </c>
      <c r="G14" s="51">
        <v>500.0</v>
      </c>
      <c r="H14" s="51">
        <v>500.0</v>
      </c>
      <c r="I14" s="51">
        <v>500.0</v>
      </c>
      <c r="J14" s="51">
        <v>500.0</v>
      </c>
      <c r="K14" s="51">
        <v>500.0</v>
      </c>
      <c r="L14" s="51">
        <v>500.0</v>
      </c>
      <c r="M14" s="51">
        <v>500.0</v>
      </c>
      <c r="N14" s="52">
        <f t="shared" si="1"/>
        <v>6000</v>
      </c>
      <c r="O14" s="58"/>
      <c r="P14" s="60"/>
      <c r="Q14" s="58"/>
      <c r="R14" s="60"/>
      <c r="S14" s="58"/>
    </row>
    <row r="15" ht="22.5" customHeight="1">
      <c r="A15" s="61" t="s">
        <v>39</v>
      </c>
      <c r="B15" s="52"/>
      <c r="C15" s="52"/>
      <c r="D15" s="52"/>
      <c r="E15" s="52"/>
      <c r="F15" s="52"/>
      <c r="G15" s="52"/>
      <c r="H15" s="52"/>
      <c r="I15" s="52"/>
      <c r="J15" s="52"/>
      <c r="K15" s="52"/>
      <c r="L15" s="52"/>
      <c r="M15" s="52"/>
      <c r="N15" s="52">
        <f t="shared" si="1"/>
        <v>0</v>
      </c>
      <c r="O15" s="58"/>
      <c r="P15" s="60"/>
      <c r="Q15" s="58"/>
      <c r="R15" s="58"/>
      <c r="S15" s="58"/>
    </row>
    <row r="16" ht="22.5" customHeight="1">
      <c r="A16" s="61" t="s">
        <v>40</v>
      </c>
      <c r="B16" s="52"/>
      <c r="C16" s="52"/>
      <c r="D16" s="52"/>
      <c r="E16" s="52"/>
      <c r="F16" s="51">
        <v>1000.0</v>
      </c>
      <c r="G16" s="52"/>
      <c r="H16" s="51">
        <v>1000.0</v>
      </c>
      <c r="I16" s="51">
        <v>500.0</v>
      </c>
      <c r="J16" s="51">
        <v>500.0</v>
      </c>
      <c r="K16" s="51">
        <v>500.0</v>
      </c>
      <c r="L16" s="51">
        <v>500.0</v>
      </c>
      <c r="M16" s="51">
        <v>500.0</v>
      </c>
      <c r="N16" s="52">
        <f t="shared" si="1"/>
        <v>4500</v>
      </c>
      <c r="O16" s="58"/>
      <c r="P16" s="60" t="s">
        <v>133</v>
      </c>
      <c r="Q16" s="58"/>
      <c r="R16" s="58"/>
      <c r="S16" s="58"/>
    </row>
    <row r="17" ht="22.5" customHeight="1">
      <c r="A17" s="61" t="s">
        <v>127</v>
      </c>
      <c r="B17" s="52"/>
      <c r="C17" s="52"/>
      <c r="D17" s="51">
        <v>4000.0</v>
      </c>
      <c r="E17" s="52"/>
      <c r="F17" s="52"/>
      <c r="G17" s="52"/>
      <c r="H17" s="51">
        <v>1000.0</v>
      </c>
      <c r="I17" s="52"/>
      <c r="J17" s="52"/>
      <c r="K17" s="51">
        <v>2000.0</v>
      </c>
      <c r="L17" s="52"/>
      <c r="M17" s="52"/>
      <c r="N17" s="52">
        <f t="shared" si="1"/>
        <v>7000</v>
      </c>
      <c r="O17" s="58"/>
      <c r="P17" s="59"/>
      <c r="S17" s="58"/>
    </row>
    <row r="18" ht="22.5" customHeight="1">
      <c r="A18" s="61" t="s">
        <v>42</v>
      </c>
      <c r="B18" s="52"/>
      <c r="C18" s="52"/>
      <c r="D18" s="51">
        <v>500.0</v>
      </c>
      <c r="E18" s="51">
        <v>500.0</v>
      </c>
      <c r="F18" s="51">
        <v>500.0</v>
      </c>
      <c r="G18" s="51">
        <v>500.0</v>
      </c>
      <c r="H18" s="51">
        <v>500.0</v>
      </c>
      <c r="I18" s="51">
        <v>500.0</v>
      </c>
      <c r="J18" s="51">
        <v>500.0</v>
      </c>
      <c r="K18" s="51">
        <v>500.0</v>
      </c>
      <c r="L18" s="51">
        <v>500.0</v>
      </c>
      <c r="M18" s="51">
        <v>500.0</v>
      </c>
      <c r="N18" s="52">
        <f t="shared" si="1"/>
        <v>5000</v>
      </c>
      <c r="O18" s="58"/>
      <c r="P18" s="60"/>
      <c r="Q18" s="60"/>
      <c r="R18" s="60"/>
      <c r="S18" s="58"/>
    </row>
    <row r="19" ht="22.5" customHeight="1">
      <c r="A19" s="61" t="s">
        <v>130</v>
      </c>
      <c r="B19" s="52"/>
      <c r="C19" s="52"/>
      <c r="D19" s="52"/>
      <c r="E19" s="52"/>
      <c r="F19" s="51">
        <v>5000.0</v>
      </c>
      <c r="G19" s="52"/>
      <c r="H19" s="51">
        <v>1000.0</v>
      </c>
      <c r="I19" s="52"/>
      <c r="J19" s="51">
        <v>1000.0</v>
      </c>
      <c r="K19" s="52"/>
      <c r="L19" s="52"/>
      <c r="M19" s="51">
        <v>1000.0</v>
      </c>
      <c r="N19" s="52">
        <f t="shared" si="1"/>
        <v>8000</v>
      </c>
      <c r="O19" s="58"/>
      <c r="P19" s="60"/>
      <c r="Q19" s="60"/>
      <c r="R19" s="60"/>
      <c r="S19" s="58"/>
    </row>
    <row r="20" ht="22.5" customHeight="1">
      <c r="A20" s="22" t="s">
        <v>44</v>
      </c>
      <c r="B20" s="51"/>
      <c r="C20" s="51"/>
      <c r="D20" s="51">
        <v>1000.0</v>
      </c>
      <c r="E20" s="51">
        <v>1000.0</v>
      </c>
      <c r="F20" s="51">
        <v>1000.0</v>
      </c>
      <c r="G20" s="51">
        <v>1000.0</v>
      </c>
      <c r="H20" s="51">
        <v>1000.0</v>
      </c>
      <c r="I20" s="51">
        <v>1000.0</v>
      </c>
      <c r="J20" s="51">
        <v>1000.0</v>
      </c>
      <c r="K20" s="51">
        <v>1000.0</v>
      </c>
      <c r="L20" s="51">
        <v>1000.0</v>
      </c>
      <c r="M20" s="51">
        <v>1000.0</v>
      </c>
      <c r="N20" s="52">
        <f t="shared" si="1"/>
        <v>10000</v>
      </c>
      <c r="O20" s="58"/>
      <c r="P20" s="60"/>
      <c r="Q20" s="60"/>
      <c r="R20" s="60"/>
      <c r="S20" s="58"/>
    </row>
    <row r="21" ht="22.5" customHeight="1">
      <c r="A21" s="22" t="s">
        <v>45</v>
      </c>
      <c r="B21" s="51"/>
      <c r="C21" s="52"/>
      <c r="D21" s="51">
        <v>1000.0</v>
      </c>
      <c r="E21" s="51">
        <v>0.0</v>
      </c>
      <c r="F21" s="51">
        <v>500.0</v>
      </c>
      <c r="G21" s="51">
        <v>500.0</v>
      </c>
      <c r="H21" s="51">
        <v>1000.0</v>
      </c>
      <c r="I21" s="52"/>
      <c r="J21" s="52"/>
      <c r="K21" s="51">
        <v>500.0</v>
      </c>
      <c r="L21" s="51">
        <v>500.0</v>
      </c>
      <c r="M21" s="51">
        <v>500.0</v>
      </c>
      <c r="N21" s="52">
        <f t="shared" si="1"/>
        <v>4500</v>
      </c>
      <c r="O21" s="58"/>
      <c r="P21" s="60"/>
      <c r="Q21" s="60"/>
      <c r="R21" s="60"/>
      <c r="S21" s="58"/>
    </row>
    <row r="22" ht="22.5" customHeight="1">
      <c r="A22" s="22" t="s">
        <v>46</v>
      </c>
      <c r="B22" s="51"/>
      <c r="C22" s="52"/>
      <c r="D22" s="51"/>
      <c r="E22" s="51"/>
      <c r="F22" s="51"/>
      <c r="G22" s="51"/>
      <c r="H22" s="51">
        <v>1000.0</v>
      </c>
      <c r="I22" s="52"/>
      <c r="J22" s="51">
        <v>500.0</v>
      </c>
      <c r="K22" s="51">
        <v>505.0</v>
      </c>
      <c r="L22" s="51">
        <v>500.0</v>
      </c>
      <c r="M22" s="51">
        <v>500.0</v>
      </c>
      <c r="N22" s="52">
        <f t="shared" si="1"/>
        <v>3005</v>
      </c>
      <c r="O22" s="58"/>
      <c r="P22" s="60"/>
      <c r="Q22" s="60"/>
      <c r="R22" s="60"/>
      <c r="S22" s="58"/>
    </row>
    <row r="23" ht="22.5" customHeight="1">
      <c r="A23" s="22" t="s">
        <v>47</v>
      </c>
      <c r="B23" s="51"/>
      <c r="C23" s="52"/>
      <c r="D23" s="51"/>
      <c r="E23" s="51"/>
      <c r="F23" s="51"/>
      <c r="G23" s="51"/>
      <c r="H23" s="51"/>
      <c r="I23" s="52"/>
      <c r="J23" s="51"/>
      <c r="K23" s="51"/>
      <c r="L23" s="51"/>
      <c r="M23" s="51">
        <v>1000.0</v>
      </c>
      <c r="N23" s="52">
        <f t="shared" si="1"/>
        <v>1000</v>
      </c>
      <c r="O23" s="58"/>
      <c r="P23" s="60"/>
      <c r="Q23" s="60"/>
      <c r="R23" s="60"/>
      <c r="S23" s="58"/>
    </row>
    <row r="24" ht="22.5" customHeight="1">
      <c r="A24" s="54" t="s">
        <v>124</v>
      </c>
      <c r="B24" s="52"/>
      <c r="C24" s="52"/>
      <c r="D24" s="51">
        <v>2243.0</v>
      </c>
      <c r="E24" s="52"/>
      <c r="F24" s="52"/>
      <c r="G24" s="51">
        <v>1547.0</v>
      </c>
      <c r="H24" s="51">
        <v>3000.0</v>
      </c>
      <c r="I24" s="52"/>
      <c r="J24" s="52"/>
      <c r="K24" s="51">
        <v>1752.0</v>
      </c>
      <c r="L24" s="52"/>
      <c r="M24" s="51">
        <v>3330.0</v>
      </c>
      <c r="N24" s="52">
        <f t="shared" si="1"/>
        <v>11872</v>
      </c>
      <c r="O24" s="58"/>
      <c r="P24" s="60"/>
      <c r="Q24" s="60"/>
      <c r="R24" s="60"/>
      <c r="S24" s="58"/>
    </row>
    <row r="25" ht="22.5" customHeight="1">
      <c r="A25" s="51" t="s">
        <v>14</v>
      </c>
      <c r="B25" s="52">
        <f t="shared" ref="B25:N25" si="2">sum(B2:B24)</f>
        <v>4500</v>
      </c>
      <c r="C25" s="52">
        <f t="shared" si="2"/>
        <v>2500</v>
      </c>
      <c r="D25" s="52">
        <f t="shared" si="2"/>
        <v>23243</v>
      </c>
      <c r="E25" s="52">
        <f t="shared" si="2"/>
        <v>5500</v>
      </c>
      <c r="F25" s="52">
        <f t="shared" si="2"/>
        <v>14500</v>
      </c>
      <c r="G25" s="52">
        <f t="shared" si="2"/>
        <v>5547</v>
      </c>
      <c r="H25" s="52">
        <f t="shared" si="2"/>
        <v>21400</v>
      </c>
      <c r="I25" s="52">
        <f t="shared" si="2"/>
        <v>5500</v>
      </c>
      <c r="J25" s="52">
        <f t="shared" si="2"/>
        <v>5500</v>
      </c>
      <c r="K25" s="52">
        <f t="shared" si="2"/>
        <v>11257</v>
      </c>
      <c r="L25" s="52">
        <f t="shared" si="2"/>
        <v>7500</v>
      </c>
      <c r="M25" s="52">
        <f t="shared" si="2"/>
        <v>14330</v>
      </c>
      <c r="N25" s="52">
        <f t="shared" si="2"/>
        <v>121277</v>
      </c>
      <c r="O25" s="58"/>
      <c r="P25" s="60"/>
      <c r="Q25" s="58"/>
      <c r="R25" s="60"/>
      <c r="S25" s="58"/>
    </row>
    <row r="26">
      <c r="O26" s="58"/>
      <c r="P26" s="58"/>
      <c r="Q26" s="58"/>
      <c r="R26" s="58"/>
      <c r="S26" s="58"/>
    </row>
    <row r="27">
      <c r="O27" s="58"/>
      <c r="P27" s="58"/>
      <c r="Q27" s="58"/>
      <c r="R27" s="58"/>
      <c r="S27" s="58"/>
    </row>
    <row r="28">
      <c r="O28" s="58"/>
      <c r="P28" s="58"/>
      <c r="Q28" s="58"/>
      <c r="R28" s="58"/>
      <c r="S28" s="58"/>
    </row>
    <row r="29">
      <c r="O29" s="58"/>
      <c r="P29" s="58"/>
      <c r="Q29" s="58"/>
      <c r="R29" s="58"/>
      <c r="S29" s="58"/>
    </row>
    <row r="30">
      <c r="O30" s="58"/>
      <c r="P30" s="58"/>
      <c r="Q30" s="58"/>
      <c r="R30" s="58"/>
      <c r="S30" s="58"/>
    </row>
    <row r="31">
      <c r="O31" s="58"/>
      <c r="P31" s="58"/>
      <c r="Q31" s="58"/>
      <c r="R31" s="58"/>
      <c r="S31" s="58"/>
    </row>
  </sheetData>
  <mergeCells count="5">
    <mergeCell ref="P1:Q1"/>
    <mergeCell ref="R1:S1"/>
    <mergeCell ref="U1:V1"/>
    <mergeCell ref="P10:R10"/>
    <mergeCell ref="P17:R17"/>
  </mergeCell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25"/>
    <col customWidth="1" min="2" max="3" width="8.5"/>
    <col customWidth="1" min="4" max="4" width="9.25"/>
    <col customWidth="1" min="5" max="5" width="8.75"/>
    <col customWidth="1" min="6" max="6" width="9.25"/>
    <col customWidth="1" min="7" max="7" width="9.63"/>
    <col customWidth="1" min="8" max="8" width="9.38"/>
    <col customWidth="1" min="9" max="9" width="8.5"/>
    <col customWidth="1" min="10" max="10" width="8.38"/>
    <col customWidth="1" min="11" max="11" width="6.0"/>
    <col customWidth="1" min="12" max="12" width="9.13"/>
    <col customWidth="1" min="13" max="13" width="8.13"/>
    <col customWidth="1" min="14" max="14" width="8.88"/>
    <col customWidth="1" min="19" max="19" width="25.63"/>
    <col customWidth="1" min="20" max="20" width="16.25"/>
  </cols>
  <sheetData>
    <row r="1" ht="22.5" customHeight="1">
      <c r="A1" s="20" t="s">
        <v>13</v>
      </c>
      <c r="B1" s="65" t="s">
        <v>134</v>
      </c>
      <c r="C1" s="65" t="s">
        <v>135</v>
      </c>
      <c r="D1" s="65" t="s">
        <v>136</v>
      </c>
      <c r="E1" s="65" t="s">
        <v>137</v>
      </c>
      <c r="F1" s="65" t="s">
        <v>138</v>
      </c>
      <c r="G1" s="65" t="s">
        <v>139</v>
      </c>
      <c r="H1" s="65" t="s">
        <v>140</v>
      </c>
      <c r="I1" s="65" t="s">
        <v>141</v>
      </c>
      <c r="J1" s="65" t="s">
        <v>142</v>
      </c>
      <c r="K1" s="65" t="s">
        <v>143</v>
      </c>
      <c r="L1" s="65" t="s">
        <v>144</v>
      </c>
      <c r="M1" s="65" t="s">
        <v>145</v>
      </c>
      <c r="N1" s="65" t="s">
        <v>14</v>
      </c>
    </row>
    <row r="2" ht="22.5" customHeight="1">
      <c r="A2" s="50" t="s">
        <v>110</v>
      </c>
      <c r="B2" s="66">
        <v>500.0</v>
      </c>
      <c r="C2" s="66">
        <v>500.0</v>
      </c>
      <c r="D2" s="66">
        <v>500.0</v>
      </c>
      <c r="E2" s="66">
        <v>500.0</v>
      </c>
      <c r="F2" s="66">
        <v>500.0</v>
      </c>
      <c r="G2" s="66">
        <v>500.0</v>
      </c>
      <c r="H2" s="66">
        <v>500.0</v>
      </c>
      <c r="I2" s="66">
        <v>500.0</v>
      </c>
      <c r="J2" s="66">
        <v>500.0</v>
      </c>
      <c r="K2" s="66">
        <v>500.0</v>
      </c>
      <c r="L2" s="66">
        <v>500.0</v>
      </c>
      <c r="M2" s="66">
        <v>500.0</v>
      </c>
      <c r="N2" s="52">
        <f t="shared" ref="N2:N24" si="1">sum(B2:M2)</f>
        <v>6000</v>
      </c>
    </row>
    <row r="3" ht="22.5" customHeight="1">
      <c r="A3" s="61" t="s">
        <v>111</v>
      </c>
      <c r="B3" s="66"/>
      <c r="C3" s="66"/>
      <c r="D3" s="66"/>
      <c r="E3" s="66"/>
      <c r="F3" s="66"/>
      <c r="G3" s="66"/>
      <c r="H3" s="66"/>
      <c r="I3" s="66"/>
      <c r="J3" s="66"/>
      <c r="K3" s="66"/>
      <c r="L3" s="66"/>
      <c r="M3" s="66"/>
      <c r="N3" s="52">
        <f t="shared" si="1"/>
        <v>0</v>
      </c>
    </row>
    <row r="4" ht="22.5" customHeight="1">
      <c r="A4" s="61" t="s">
        <v>112</v>
      </c>
      <c r="B4" s="66">
        <v>500.0</v>
      </c>
      <c r="C4" s="66">
        <v>500.0</v>
      </c>
      <c r="D4" s="66">
        <v>500.0</v>
      </c>
      <c r="E4" s="66">
        <v>500.0</v>
      </c>
      <c r="F4" s="66">
        <v>500.0</v>
      </c>
      <c r="G4" s="66">
        <v>500.0</v>
      </c>
      <c r="H4" s="66">
        <v>500.0</v>
      </c>
      <c r="I4" s="66">
        <v>500.0</v>
      </c>
      <c r="J4" s="66">
        <v>500.0</v>
      </c>
      <c r="K4" s="66">
        <v>500.0</v>
      </c>
      <c r="L4" s="66">
        <v>500.0</v>
      </c>
      <c r="M4" s="66">
        <v>500.0</v>
      </c>
      <c r="N4" s="52">
        <f t="shared" si="1"/>
        <v>6000</v>
      </c>
    </row>
    <row r="5" ht="22.5" customHeight="1">
      <c r="A5" s="61" t="s">
        <v>146</v>
      </c>
      <c r="B5" s="66"/>
      <c r="C5" s="66"/>
      <c r="D5" s="66">
        <v>500.0</v>
      </c>
      <c r="E5" s="66">
        <v>500.0</v>
      </c>
      <c r="F5" s="66">
        <v>1000.0</v>
      </c>
      <c r="G5" s="66"/>
      <c r="H5" s="66">
        <v>500.0</v>
      </c>
      <c r="I5" s="66"/>
      <c r="J5" s="66"/>
      <c r="K5" s="66">
        <v>500.0</v>
      </c>
      <c r="L5" s="66"/>
      <c r="M5" s="66"/>
      <c r="N5" s="52">
        <f t="shared" si="1"/>
        <v>3000</v>
      </c>
    </row>
    <row r="6" ht="22.5" customHeight="1">
      <c r="A6" s="61" t="s">
        <v>30</v>
      </c>
      <c r="B6" s="66"/>
      <c r="C6" s="66"/>
      <c r="D6" s="66"/>
      <c r="E6" s="66"/>
      <c r="F6" s="66"/>
      <c r="G6" s="66"/>
      <c r="H6" s="66"/>
      <c r="I6" s="66"/>
      <c r="J6" s="66"/>
      <c r="K6" s="66"/>
      <c r="L6" s="66"/>
      <c r="M6" s="66"/>
      <c r="N6" s="52">
        <f t="shared" si="1"/>
        <v>0</v>
      </c>
    </row>
    <row r="7" ht="22.5" customHeight="1">
      <c r="A7" s="61" t="s">
        <v>125</v>
      </c>
      <c r="B7" s="66"/>
      <c r="C7" s="66"/>
      <c r="D7" s="66"/>
      <c r="E7" s="66">
        <v>3000.0</v>
      </c>
      <c r="F7" s="66"/>
      <c r="G7" s="66"/>
      <c r="H7" s="66"/>
      <c r="I7" s="66"/>
      <c r="J7" s="66"/>
      <c r="K7" s="66"/>
      <c r="L7" s="66"/>
      <c r="M7" s="66"/>
      <c r="N7" s="52">
        <f t="shared" si="1"/>
        <v>3000</v>
      </c>
    </row>
    <row r="8" ht="22.5" customHeight="1">
      <c r="A8" s="61" t="s">
        <v>113</v>
      </c>
      <c r="B8" s="66"/>
      <c r="C8" s="66">
        <v>500.0</v>
      </c>
      <c r="D8" s="66"/>
      <c r="E8" s="66">
        <v>1000.0</v>
      </c>
      <c r="F8" s="66"/>
      <c r="G8" s="66">
        <v>1000.0</v>
      </c>
      <c r="H8" s="66">
        <v>1000.0</v>
      </c>
      <c r="I8" s="66"/>
      <c r="J8" s="66"/>
      <c r="K8" s="66"/>
      <c r="L8" s="66">
        <v>1000.0</v>
      </c>
      <c r="M8" s="66"/>
      <c r="N8" s="52">
        <f t="shared" si="1"/>
        <v>4500</v>
      </c>
    </row>
    <row r="9" ht="22.5" customHeight="1">
      <c r="A9" s="61" t="s">
        <v>114</v>
      </c>
      <c r="B9" s="66">
        <v>500.0</v>
      </c>
      <c r="C9" s="66">
        <v>500.0</v>
      </c>
      <c r="D9" s="66">
        <v>500.0</v>
      </c>
      <c r="E9" s="66">
        <v>500.0</v>
      </c>
      <c r="F9" s="66">
        <v>500.0</v>
      </c>
      <c r="G9" s="66">
        <v>500.0</v>
      </c>
      <c r="H9" s="66">
        <v>1000.0</v>
      </c>
      <c r="I9" s="66"/>
      <c r="J9" s="66">
        <v>1000.0</v>
      </c>
      <c r="K9" s="66"/>
      <c r="L9" s="66">
        <v>1000.0</v>
      </c>
      <c r="M9" s="66">
        <v>500.0</v>
      </c>
      <c r="N9" s="52">
        <f t="shared" si="1"/>
        <v>6500</v>
      </c>
    </row>
    <row r="10" ht="22.5" customHeight="1">
      <c r="A10" s="61" t="s">
        <v>115</v>
      </c>
      <c r="B10" s="66"/>
      <c r="C10" s="66">
        <v>5000.0</v>
      </c>
      <c r="D10" s="66"/>
      <c r="E10" s="66"/>
      <c r="F10" s="66"/>
      <c r="G10" s="66"/>
      <c r="H10" s="66"/>
      <c r="I10" s="66"/>
      <c r="J10" s="66"/>
      <c r="K10" s="66"/>
      <c r="L10" s="66"/>
      <c r="M10" s="66"/>
      <c r="N10" s="52">
        <f t="shared" si="1"/>
        <v>5000</v>
      </c>
    </row>
    <row r="11" ht="22.5" customHeight="1">
      <c r="A11" s="61" t="s">
        <v>35</v>
      </c>
      <c r="B11" s="66">
        <v>500.0</v>
      </c>
      <c r="C11" s="66">
        <v>500.0</v>
      </c>
      <c r="D11" s="66">
        <v>500.0</v>
      </c>
      <c r="E11" s="66">
        <v>500.0</v>
      </c>
      <c r="F11" s="66">
        <v>500.0</v>
      </c>
      <c r="G11" s="66">
        <v>500.0</v>
      </c>
      <c r="H11" s="66">
        <v>500.0</v>
      </c>
      <c r="I11" s="66">
        <v>500.0</v>
      </c>
      <c r="J11" s="66">
        <v>500.0</v>
      </c>
      <c r="K11" s="66">
        <v>500.0</v>
      </c>
      <c r="L11" s="66">
        <v>500.0</v>
      </c>
      <c r="M11" s="66">
        <v>500.0</v>
      </c>
      <c r="N11" s="52">
        <f t="shared" si="1"/>
        <v>6000</v>
      </c>
    </row>
    <row r="12" ht="22.5" customHeight="1">
      <c r="A12" s="61" t="s">
        <v>126</v>
      </c>
      <c r="B12" s="66"/>
      <c r="C12" s="66"/>
      <c r="D12" s="66"/>
      <c r="E12" s="66"/>
      <c r="F12" s="66"/>
      <c r="G12" s="66"/>
      <c r="H12" s="66"/>
      <c r="I12" s="66"/>
      <c r="J12" s="66"/>
      <c r="K12" s="66"/>
      <c r="L12" s="66"/>
      <c r="M12" s="66"/>
      <c r="N12" s="52">
        <f t="shared" si="1"/>
        <v>0</v>
      </c>
      <c r="P12" s="59"/>
      <c r="Q12" s="59"/>
    </row>
    <row r="13" ht="22.5" customHeight="1">
      <c r="A13" s="61" t="s">
        <v>37</v>
      </c>
      <c r="B13" s="66"/>
      <c r="C13" s="66">
        <v>500.0</v>
      </c>
      <c r="D13" s="66">
        <v>500.0</v>
      </c>
      <c r="E13" s="66"/>
      <c r="F13" s="66"/>
      <c r="G13" s="66"/>
      <c r="H13" s="66"/>
      <c r="I13" s="66"/>
      <c r="J13" s="66"/>
      <c r="K13" s="66"/>
      <c r="L13" s="66">
        <v>1000.0</v>
      </c>
      <c r="M13" s="66"/>
      <c r="N13" s="52">
        <f t="shared" si="1"/>
        <v>2000</v>
      </c>
      <c r="S13" s="60"/>
      <c r="T13" s="58"/>
    </row>
    <row r="14" ht="22.5" customHeight="1">
      <c r="A14" s="61" t="s">
        <v>38</v>
      </c>
      <c r="B14" s="66">
        <v>500.0</v>
      </c>
      <c r="C14" s="66">
        <v>500.0</v>
      </c>
      <c r="D14" s="66">
        <v>500.0</v>
      </c>
      <c r="E14" s="66">
        <v>500.0</v>
      </c>
      <c r="F14" s="66">
        <v>500.0</v>
      </c>
      <c r="G14" s="66">
        <v>500.0</v>
      </c>
      <c r="H14" s="66">
        <v>500.0</v>
      </c>
      <c r="I14" s="66">
        <v>500.0</v>
      </c>
      <c r="J14" s="66">
        <v>500.0</v>
      </c>
      <c r="K14" s="66">
        <v>500.0</v>
      </c>
      <c r="L14" s="66">
        <v>500.0</v>
      </c>
      <c r="M14" s="66">
        <v>500.0</v>
      </c>
      <c r="N14" s="52">
        <f t="shared" si="1"/>
        <v>6000</v>
      </c>
    </row>
    <row r="15" ht="22.5" customHeight="1">
      <c r="A15" s="61" t="s">
        <v>39</v>
      </c>
      <c r="B15" s="66"/>
      <c r="C15" s="66"/>
      <c r="D15" s="66"/>
      <c r="E15" s="66"/>
      <c r="F15" s="66"/>
      <c r="G15" s="66"/>
      <c r="H15" s="66"/>
      <c r="I15" s="66"/>
      <c r="J15" s="66"/>
      <c r="K15" s="66"/>
      <c r="L15" s="66"/>
      <c r="M15" s="66"/>
      <c r="N15" s="52">
        <f t="shared" si="1"/>
        <v>0</v>
      </c>
    </row>
    <row r="16" ht="22.5" customHeight="1">
      <c r="A16" s="61" t="s">
        <v>40</v>
      </c>
      <c r="B16" s="66"/>
      <c r="C16" s="66"/>
      <c r="D16" s="66"/>
      <c r="E16" s="66"/>
      <c r="F16" s="66"/>
      <c r="G16" s="66"/>
      <c r="H16" s="66"/>
      <c r="I16" s="66"/>
      <c r="J16" s="66"/>
      <c r="K16" s="66"/>
      <c r="L16" s="66"/>
      <c r="M16" s="66"/>
      <c r="N16" s="52">
        <f t="shared" si="1"/>
        <v>0</v>
      </c>
    </row>
    <row r="17" ht="22.5" customHeight="1">
      <c r="A17" s="61" t="s">
        <v>127</v>
      </c>
      <c r="B17" s="66"/>
      <c r="C17" s="66">
        <v>1000.0</v>
      </c>
      <c r="D17" s="66">
        <v>1000.0</v>
      </c>
      <c r="E17" s="66"/>
      <c r="F17" s="66"/>
      <c r="G17" s="66"/>
      <c r="H17" s="66"/>
      <c r="I17" s="66"/>
      <c r="J17" s="66"/>
      <c r="K17" s="66"/>
      <c r="L17" s="66">
        <v>3000.0</v>
      </c>
      <c r="M17" s="66"/>
      <c r="N17" s="52">
        <f t="shared" si="1"/>
        <v>5000</v>
      </c>
    </row>
    <row r="18" ht="22.5" customHeight="1">
      <c r="A18" s="61" t="s">
        <v>42</v>
      </c>
      <c r="B18" s="66"/>
      <c r="C18" s="66"/>
      <c r="D18" s="66"/>
      <c r="E18" s="66"/>
      <c r="F18" s="66"/>
      <c r="G18" s="66"/>
      <c r="H18" s="66"/>
      <c r="I18" s="66"/>
      <c r="J18" s="66"/>
      <c r="K18" s="66"/>
      <c r="L18" s="66"/>
      <c r="M18" s="66"/>
      <c r="N18" s="52">
        <f t="shared" si="1"/>
        <v>0</v>
      </c>
      <c r="P18" s="67"/>
      <c r="Q18" s="68"/>
    </row>
    <row r="19" ht="22.5" customHeight="1">
      <c r="A19" s="61" t="s">
        <v>130</v>
      </c>
      <c r="B19" s="66"/>
      <c r="C19" s="66"/>
      <c r="D19" s="66"/>
      <c r="E19" s="66"/>
      <c r="F19" s="66"/>
      <c r="G19" s="66"/>
      <c r="H19" s="66"/>
      <c r="I19" s="66"/>
      <c r="J19" s="66"/>
      <c r="K19" s="66"/>
      <c r="L19" s="66"/>
      <c r="M19" s="66"/>
      <c r="N19" s="52">
        <f t="shared" si="1"/>
        <v>0</v>
      </c>
    </row>
    <row r="20" ht="22.5" customHeight="1">
      <c r="A20" s="22" t="s">
        <v>44</v>
      </c>
      <c r="B20" s="66">
        <v>0.0</v>
      </c>
      <c r="C20" s="66">
        <v>0.0</v>
      </c>
      <c r="D20" s="66">
        <v>0.0</v>
      </c>
      <c r="E20" s="66">
        <v>0.0</v>
      </c>
      <c r="F20" s="66">
        <v>0.0</v>
      </c>
      <c r="G20" s="66">
        <v>0.0</v>
      </c>
      <c r="H20" s="66">
        <v>0.0</v>
      </c>
      <c r="I20" s="66">
        <v>0.0</v>
      </c>
      <c r="J20" s="66">
        <v>0.0</v>
      </c>
      <c r="K20" s="66">
        <v>0.0</v>
      </c>
      <c r="L20" s="66">
        <v>0.0</v>
      </c>
      <c r="M20" s="66">
        <v>0.0</v>
      </c>
      <c r="N20" s="52">
        <f t="shared" si="1"/>
        <v>0</v>
      </c>
    </row>
    <row r="21" ht="22.5" customHeight="1">
      <c r="A21" s="22" t="s">
        <v>45</v>
      </c>
      <c r="B21" s="66">
        <v>0.0</v>
      </c>
      <c r="C21" s="66">
        <v>0.0</v>
      </c>
      <c r="D21" s="66">
        <v>0.0</v>
      </c>
      <c r="E21" s="66">
        <v>0.0</v>
      </c>
      <c r="F21" s="66">
        <v>0.0</v>
      </c>
      <c r="G21" s="66">
        <v>0.0</v>
      </c>
      <c r="H21" s="66">
        <v>0.0</v>
      </c>
      <c r="I21" s="66">
        <v>0.0</v>
      </c>
      <c r="J21" s="66">
        <v>0.0</v>
      </c>
      <c r="K21" s="66">
        <v>0.0</v>
      </c>
      <c r="L21" s="66">
        <v>0.0</v>
      </c>
      <c r="M21" s="66">
        <v>0.0</v>
      </c>
      <c r="N21" s="52">
        <f t="shared" si="1"/>
        <v>0</v>
      </c>
    </row>
    <row r="22" ht="22.5" customHeight="1">
      <c r="A22" s="22" t="s">
        <v>46</v>
      </c>
      <c r="B22" s="66">
        <v>0.0</v>
      </c>
      <c r="C22" s="66">
        <v>0.0</v>
      </c>
      <c r="D22" s="66">
        <v>0.0</v>
      </c>
      <c r="E22" s="66">
        <v>0.0</v>
      </c>
      <c r="F22" s="66">
        <v>0.0</v>
      </c>
      <c r="G22" s="66">
        <v>0.0</v>
      </c>
      <c r="H22" s="66">
        <v>0.0</v>
      </c>
      <c r="I22" s="66">
        <v>0.0</v>
      </c>
      <c r="J22" s="66">
        <v>0.0</v>
      </c>
      <c r="K22" s="66">
        <v>0.0</v>
      </c>
      <c r="L22" s="66">
        <v>0.0</v>
      </c>
      <c r="M22" s="66">
        <v>0.0</v>
      </c>
      <c r="N22" s="52">
        <f t="shared" si="1"/>
        <v>0</v>
      </c>
    </row>
    <row r="23" ht="22.5" customHeight="1">
      <c r="A23" s="22" t="s">
        <v>47</v>
      </c>
      <c r="B23" s="66">
        <v>0.0</v>
      </c>
      <c r="C23" s="66">
        <v>0.0</v>
      </c>
      <c r="D23" s="66">
        <v>0.0</v>
      </c>
      <c r="E23" s="66">
        <v>0.0</v>
      </c>
      <c r="F23" s="66">
        <v>0.0</v>
      </c>
      <c r="G23" s="66">
        <v>0.0</v>
      </c>
      <c r="H23" s="66">
        <v>0.0</v>
      </c>
      <c r="I23" s="66">
        <v>0.0</v>
      </c>
      <c r="J23" s="66">
        <v>0.0</v>
      </c>
      <c r="K23" s="66">
        <v>0.0</v>
      </c>
      <c r="L23" s="66">
        <v>0.0</v>
      </c>
      <c r="M23" s="66">
        <v>0.0</v>
      </c>
      <c r="N23" s="52">
        <f t="shared" si="1"/>
        <v>0</v>
      </c>
    </row>
    <row r="24" ht="22.5" customHeight="1">
      <c r="A24" s="69" t="s">
        <v>147</v>
      </c>
      <c r="B24" s="66"/>
      <c r="C24" s="66">
        <v>1600.0</v>
      </c>
      <c r="D24" s="66">
        <f>1369+800</f>
        <v>2169</v>
      </c>
      <c r="E24" s="66"/>
      <c r="F24" s="66"/>
      <c r="G24" s="66">
        <v>1370.0</v>
      </c>
      <c r="H24" s="66">
        <v>4666.0</v>
      </c>
      <c r="I24" s="66"/>
      <c r="J24" s="66">
        <v>1813.0</v>
      </c>
      <c r="K24" s="66"/>
      <c r="L24" s="66">
        <v>533.0</v>
      </c>
      <c r="M24" s="66">
        <v>2052.0</v>
      </c>
      <c r="N24" s="52">
        <f t="shared" si="1"/>
        <v>14203</v>
      </c>
    </row>
    <row r="25" ht="22.5" customHeight="1">
      <c r="A25" s="51" t="s">
        <v>14</v>
      </c>
      <c r="B25" s="52">
        <f t="shared" ref="B25:N25" si="2">sum(B2:B24)</f>
        <v>2500</v>
      </c>
      <c r="C25" s="52">
        <f t="shared" si="2"/>
        <v>11100</v>
      </c>
      <c r="D25" s="52">
        <f t="shared" si="2"/>
        <v>6669</v>
      </c>
      <c r="E25" s="52">
        <f t="shared" si="2"/>
        <v>7000</v>
      </c>
      <c r="F25" s="52">
        <f t="shared" si="2"/>
        <v>3500</v>
      </c>
      <c r="G25" s="52">
        <f t="shared" si="2"/>
        <v>4870</v>
      </c>
      <c r="H25" s="52">
        <f t="shared" si="2"/>
        <v>9166</v>
      </c>
      <c r="I25" s="52">
        <f t="shared" si="2"/>
        <v>2000</v>
      </c>
      <c r="J25" s="52">
        <f t="shared" si="2"/>
        <v>4813</v>
      </c>
      <c r="K25" s="52">
        <f t="shared" si="2"/>
        <v>2500</v>
      </c>
      <c r="L25" s="52">
        <f t="shared" si="2"/>
        <v>8533</v>
      </c>
      <c r="M25" s="52">
        <f t="shared" si="2"/>
        <v>4552</v>
      </c>
      <c r="N25" s="52">
        <f t="shared" si="2"/>
        <v>67203</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25"/>
    <col customWidth="1" min="2" max="3" width="8.5"/>
    <col customWidth="1" min="4" max="4" width="9.25"/>
    <col customWidth="1" min="5" max="5" width="8.75"/>
    <col customWidth="1" min="6" max="6" width="9.25"/>
    <col customWidth="1" min="7" max="7" width="9.63"/>
    <col customWidth="1" min="8" max="8" width="9.38"/>
    <col customWidth="1" min="9" max="9" width="9.13"/>
    <col customWidth="1" min="10" max="10" width="8.38"/>
    <col customWidth="1" min="11" max="11" width="8.88"/>
    <col customWidth="1" min="12" max="12" width="9.13"/>
    <col customWidth="1" min="13" max="14" width="8.88"/>
  </cols>
  <sheetData>
    <row r="1" ht="22.5" customHeight="1">
      <c r="A1" s="20" t="s">
        <v>13</v>
      </c>
      <c r="B1" s="65" t="s">
        <v>134</v>
      </c>
      <c r="C1" s="65" t="s">
        <v>135</v>
      </c>
      <c r="D1" s="65" t="s">
        <v>136</v>
      </c>
      <c r="E1" s="65" t="s">
        <v>137</v>
      </c>
      <c r="F1" s="65" t="s">
        <v>138</v>
      </c>
      <c r="G1" s="65" t="s">
        <v>139</v>
      </c>
      <c r="H1" s="65" t="s">
        <v>140</v>
      </c>
      <c r="I1" s="65" t="s">
        <v>141</v>
      </c>
      <c r="J1" s="65" t="s">
        <v>142</v>
      </c>
      <c r="K1" s="65" t="s">
        <v>143</v>
      </c>
      <c r="L1" s="65" t="s">
        <v>144</v>
      </c>
      <c r="M1" s="65" t="s">
        <v>145</v>
      </c>
      <c r="N1" s="65" t="s">
        <v>14</v>
      </c>
    </row>
    <row r="2" ht="22.5" customHeight="1">
      <c r="A2" s="50" t="s">
        <v>110</v>
      </c>
      <c r="B2" s="66">
        <v>500.0</v>
      </c>
      <c r="C2" s="70">
        <v>500.0</v>
      </c>
      <c r="D2" s="70">
        <v>500.0</v>
      </c>
      <c r="E2" s="70">
        <v>500.0</v>
      </c>
      <c r="F2" s="70">
        <v>500.0</v>
      </c>
      <c r="G2" s="70">
        <v>500.0</v>
      </c>
      <c r="H2" s="70">
        <v>500.0</v>
      </c>
      <c r="I2" s="70">
        <v>500.0</v>
      </c>
      <c r="J2" s="70">
        <v>500.0</v>
      </c>
      <c r="K2" s="70">
        <v>500.0</v>
      </c>
      <c r="L2" s="70">
        <v>500.0</v>
      </c>
      <c r="M2" s="66">
        <v>500.0</v>
      </c>
      <c r="N2" s="52">
        <f t="shared" ref="N2:N24" si="1">sum(B2:M2)</f>
        <v>6000</v>
      </c>
    </row>
    <row r="3" ht="22.5" customHeight="1">
      <c r="A3" s="61" t="s">
        <v>111</v>
      </c>
      <c r="B3" s="66">
        <v>500.0</v>
      </c>
      <c r="C3" s="70">
        <v>500.0</v>
      </c>
      <c r="D3" s="70">
        <v>1000.0</v>
      </c>
      <c r="E3" s="70">
        <v>500.0</v>
      </c>
      <c r="F3" s="70">
        <v>500.0</v>
      </c>
      <c r="G3" s="70">
        <v>500.0</v>
      </c>
      <c r="H3" s="70">
        <v>500.0</v>
      </c>
      <c r="I3" s="70">
        <v>500.0</v>
      </c>
      <c r="J3" s="70"/>
      <c r="K3" s="70"/>
      <c r="L3" s="70"/>
      <c r="M3" s="66"/>
      <c r="N3" s="52">
        <f t="shared" si="1"/>
        <v>4500</v>
      </c>
    </row>
    <row r="4" ht="22.5" customHeight="1">
      <c r="A4" s="61" t="s">
        <v>112</v>
      </c>
      <c r="B4" s="66">
        <v>1000.0</v>
      </c>
      <c r="C4" s="70"/>
      <c r="D4" s="70">
        <v>500.0</v>
      </c>
      <c r="E4" s="70">
        <v>500.0</v>
      </c>
      <c r="F4" s="70">
        <v>500.0</v>
      </c>
      <c r="G4" s="70">
        <v>500.0</v>
      </c>
      <c r="H4" s="70">
        <v>500.0</v>
      </c>
      <c r="I4" s="70">
        <v>500.0</v>
      </c>
      <c r="J4" s="70"/>
      <c r="K4" s="70">
        <v>1000.0</v>
      </c>
      <c r="L4" s="70"/>
      <c r="M4" s="66">
        <v>1000.0</v>
      </c>
      <c r="N4" s="52">
        <f t="shared" si="1"/>
        <v>6000</v>
      </c>
    </row>
    <row r="5" ht="22.5" customHeight="1">
      <c r="A5" s="61" t="s">
        <v>146</v>
      </c>
      <c r="B5" s="66">
        <v>2000.0</v>
      </c>
      <c r="C5" s="70"/>
      <c r="D5" s="70">
        <v>2000.0</v>
      </c>
      <c r="E5" s="71"/>
      <c r="F5" s="70">
        <v>2000.0</v>
      </c>
      <c r="G5" s="70"/>
      <c r="H5" s="70">
        <v>1000.0</v>
      </c>
      <c r="I5" s="70">
        <v>1000.0</v>
      </c>
      <c r="J5" s="70">
        <v>1000.0</v>
      </c>
      <c r="K5" s="70">
        <v>500.0</v>
      </c>
      <c r="L5" s="70">
        <v>500.0</v>
      </c>
      <c r="M5" s="66">
        <v>500.0</v>
      </c>
      <c r="N5" s="52">
        <f t="shared" si="1"/>
        <v>10500</v>
      </c>
    </row>
    <row r="6" ht="22.5" customHeight="1">
      <c r="A6" s="61" t="s">
        <v>30</v>
      </c>
      <c r="B6" s="71"/>
      <c r="C6" s="70"/>
      <c r="D6" s="71"/>
      <c r="E6" s="71"/>
      <c r="F6" s="71"/>
      <c r="G6" s="71"/>
      <c r="H6" s="71"/>
      <c r="I6" s="71"/>
      <c r="J6" s="71"/>
      <c r="K6" s="71"/>
      <c r="L6" s="71"/>
      <c r="M6" s="66"/>
      <c r="N6" s="52">
        <f t="shared" si="1"/>
        <v>0</v>
      </c>
    </row>
    <row r="7" ht="22.5" customHeight="1">
      <c r="A7" s="61" t="s">
        <v>125</v>
      </c>
      <c r="B7" s="71"/>
      <c r="C7" s="70">
        <v>2000.0</v>
      </c>
      <c r="D7" s="71"/>
      <c r="E7" s="71"/>
      <c r="F7" s="71"/>
      <c r="G7" s="71"/>
      <c r="H7" s="71"/>
      <c r="I7" s="71"/>
      <c r="J7" s="70">
        <v>3000.0</v>
      </c>
      <c r="K7" s="71"/>
      <c r="L7" s="71"/>
      <c r="M7" s="66"/>
      <c r="N7" s="52">
        <f t="shared" si="1"/>
        <v>5000</v>
      </c>
    </row>
    <row r="8" ht="22.5" customHeight="1">
      <c r="A8" s="61" t="s">
        <v>113</v>
      </c>
      <c r="B8" s="70">
        <v>1000.0</v>
      </c>
      <c r="C8" s="70"/>
      <c r="D8" s="70">
        <v>2000.0</v>
      </c>
      <c r="E8" s="70">
        <v>500.0</v>
      </c>
      <c r="F8" s="70"/>
      <c r="G8" s="70">
        <v>1500.0</v>
      </c>
      <c r="H8" s="70"/>
      <c r="I8" s="70"/>
      <c r="J8" s="70"/>
      <c r="K8" s="70"/>
      <c r="L8" s="70"/>
      <c r="M8" s="66"/>
      <c r="N8" s="52">
        <f t="shared" si="1"/>
        <v>5000</v>
      </c>
    </row>
    <row r="9" ht="22.5" customHeight="1">
      <c r="A9" s="61" t="s">
        <v>114</v>
      </c>
      <c r="B9" s="66">
        <v>500.0</v>
      </c>
      <c r="C9" s="70">
        <v>500.0</v>
      </c>
      <c r="D9" s="70">
        <v>500.0</v>
      </c>
      <c r="E9" s="70"/>
      <c r="F9" s="70">
        <v>1000.0</v>
      </c>
      <c r="G9" s="70">
        <v>500.0</v>
      </c>
      <c r="H9" s="70">
        <v>500.0</v>
      </c>
      <c r="I9" s="70">
        <v>500.0</v>
      </c>
      <c r="J9" s="70">
        <v>500.0</v>
      </c>
      <c r="K9" s="70">
        <v>500.0</v>
      </c>
      <c r="L9" s="70">
        <v>500.0</v>
      </c>
      <c r="M9" s="66">
        <v>500.0</v>
      </c>
      <c r="N9" s="52">
        <f t="shared" si="1"/>
        <v>6000</v>
      </c>
    </row>
    <row r="10" ht="22.5" customHeight="1">
      <c r="A10" s="61" t="s">
        <v>115</v>
      </c>
      <c r="B10" s="71"/>
      <c r="C10" s="70"/>
      <c r="D10" s="71"/>
      <c r="E10" s="71"/>
      <c r="F10" s="71"/>
      <c r="G10" s="70">
        <v>3000.0</v>
      </c>
      <c r="H10" s="71"/>
      <c r="I10" s="71"/>
      <c r="J10" s="71"/>
      <c r="K10" s="71"/>
      <c r="L10" s="71"/>
      <c r="M10" s="66"/>
      <c r="N10" s="52">
        <f t="shared" si="1"/>
        <v>3000</v>
      </c>
    </row>
    <row r="11" ht="22.5" customHeight="1">
      <c r="A11" s="61" t="s">
        <v>35</v>
      </c>
      <c r="B11" s="66">
        <v>1000.0</v>
      </c>
      <c r="C11" s="70"/>
      <c r="D11" s="70">
        <v>500.0</v>
      </c>
      <c r="E11" s="70">
        <v>500.0</v>
      </c>
      <c r="F11" s="70">
        <v>500.0</v>
      </c>
      <c r="G11" s="70">
        <v>500.0</v>
      </c>
      <c r="H11" s="70">
        <v>500.0</v>
      </c>
      <c r="I11" s="70">
        <v>500.0</v>
      </c>
      <c r="J11" s="70"/>
      <c r="K11" s="70">
        <v>1000.0</v>
      </c>
      <c r="L11" s="70"/>
      <c r="M11" s="66">
        <v>1000.0</v>
      </c>
      <c r="N11" s="52">
        <f t="shared" si="1"/>
        <v>6000</v>
      </c>
    </row>
    <row r="12" ht="22.5" customHeight="1">
      <c r="A12" s="61" t="s">
        <v>126</v>
      </c>
      <c r="B12" s="66">
        <v>500.0</v>
      </c>
      <c r="C12" s="70"/>
      <c r="D12" s="71"/>
      <c r="E12" s="70">
        <v>2000.0</v>
      </c>
      <c r="F12" s="70"/>
      <c r="G12" s="70">
        <v>500.0</v>
      </c>
      <c r="H12" s="70">
        <v>1000.0</v>
      </c>
      <c r="I12" s="70"/>
      <c r="J12" s="70"/>
      <c r="K12" s="70"/>
      <c r="L12" s="70"/>
      <c r="M12" s="66">
        <v>2000.0</v>
      </c>
      <c r="N12" s="52">
        <f t="shared" si="1"/>
        <v>6000</v>
      </c>
    </row>
    <row r="13" ht="22.5" customHeight="1">
      <c r="A13" s="61" t="s">
        <v>37</v>
      </c>
      <c r="B13" s="66">
        <v>500.0</v>
      </c>
      <c r="C13" s="70">
        <v>500.0</v>
      </c>
      <c r="D13" s="70">
        <v>500.0</v>
      </c>
      <c r="E13" s="70">
        <v>500.0</v>
      </c>
      <c r="F13" s="70">
        <v>500.0</v>
      </c>
      <c r="G13" s="70"/>
      <c r="H13" s="70">
        <v>500.0</v>
      </c>
      <c r="I13" s="70">
        <v>500.0</v>
      </c>
      <c r="J13" s="70"/>
      <c r="K13" s="70">
        <v>1000.0</v>
      </c>
      <c r="L13" s="70">
        <v>500.0</v>
      </c>
      <c r="M13" s="66">
        <v>500.0</v>
      </c>
      <c r="N13" s="52">
        <f t="shared" si="1"/>
        <v>5500</v>
      </c>
    </row>
    <row r="14" ht="22.5" customHeight="1">
      <c r="A14" s="61" t="s">
        <v>38</v>
      </c>
      <c r="B14" s="66">
        <v>1000.0</v>
      </c>
      <c r="C14" s="70"/>
      <c r="D14" s="70">
        <v>500.0</v>
      </c>
      <c r="E14" s="70">
        <v>500.0</v>
      </c>
      <c r="F14" s="70">
        <v>500.0</v>
      </c>
      <c r="G14" s="70">
        <v>500.0</v>
      </c>
      <c r="H14" s="70">
        <v>500.0</v>
      </c>
      <c r="I14" s="70">
        <v>500.0</v>
      </c>
      <c r="J14" s="70"/>
      <c r="K14" s="70">
        <v>1000.0</v>
      </c>
      <c r="L14" s="70"/>
      <c r="M14" s="66">
        <v>1000.0</v>
      </c>
      <c r="N14" s="52">
        <f t="shared" si="1"/>
        <v>6000</v>
      </c>
    </row>
    <row r="15" ht="22.5" customHeight="1">
      <c r="A15" s="61" t="s">
        <v>39</v>
      </c>
      <c r="B15" s="71"/>
      <c r="C15" s="70"/>
      <c r="D15" s="71"/>
      <c r="E15" s="71"/>
      <c r="F15" s="71"/>
      <c r="G15" s="71"/>
      <c r="H15" s="71"/>
      <c r="I15" s="71"/>
      <c r="J15" s="71"/>
      <c r="K15" s="71"/>
      <c r="L15" s="71"/>
      <c r="M15" s="66"/>
      <c r="N15" s="52">
        <f t="shared" si="1"/>
        <v>0</v>
      </c>
    </row>
    <row r="16" ht="22.5" customHeight="1">
      <c r="A16" s="61" t="s">
        <v>40</v>
      </c>
      <c r="B16" s="66">
        <v>500.0</v>
      </c>
      <c r="C16" s="70">
        <v>500.0</v>
      </c>
      <c r="D16" s="70">
        <v>1000.0</v>
      </c>
      <c r="E16" s="70">
        <v>500.0</v>
      </c>
      <c r="F16" s="70">
        <v>500.0</v>
      </c>
      <c r="G16" s="70">
        <v>500.0</v>
      </c>
      <c r="H16" s="70">
        <v>500.0</v>
      </c>
      <c r="I16" s="70">
        <v>500.0</v>
      </c>
      <c r="J16" s="70"/>
      <c r="K16" s="70"/>
      <c r="L16" s="70"/>
      <c r="M16" s="66"/>
      <c r="N16" s="52">
        <f t="shared" si="1"/>
        <v>4500</v>
      </c>
    </row>
    <row r="17" ht="22.5" customHeight="1">
      <c r="A17" s="61" t="s">
        <v>127</v>
      </c>
      <c r="B17" s="66">
        <v>4000.0</v>
      </c>
      <c r="C17" s="70"/>
      <c r="D17" s="71"/>
      <c r="E17" s="71"/>
      <c r="F17" s="71"/>
      <c r="G17" s="70"/>
      <c r="H17" s="70"/>
      <c r="I17" s="70"/>
      <c r="J17" s="70"/>
      <c r="K17" s="70">
        <v>4000.0</v>
      </c>
      <c r="L17" s="70">
        <v>1000.0</v>
      </c>
      <c r="M17" s="66">
        <v>500.0</v>
      </c>
      <c r="N17" s="52">
        <f t="shared" si="1"/>
        <v>9500</v>
      </c>
    </row>
    <row r="18" ht="22.5" customHeight="1">
      <c r="A18" s="61" t="s">
        <v>42</v>
      </c>
      <c r="B18" s="66">
        <v>500.0</v>
      </c>
      <c r="C18" s="70">
        <v>500.0</v>
      </c>
      <c r="D18" s="70">
        <v>500.0</v>
      </c>
      <c r="E18" s="70">
        <v>500.0</v>
      </c>
      <c r="F18" s="70"/>
      <c r="G18" s="70">
        <v>1000.0</v>
      </c>
      <c r="H18" s="70">
        <v>500.0</v>
      </c>
      <c r="I18" s="70">
        <v>500.0</v>
      </c>
      <c r="J18" s="70">
        <v>500.0</v>
      </c>
      <c r="K18" s="70">
        <v>500.0</v>
      </c>
      <c r="L18" s="70">
        <v>500.0</v>
      </c>
      <c r="M18" s="66"/>
      <c r="N18" s="52">
        <f t="shared" si="1"/>
        <v>5500</v>
      </c>
    </row>
    <row r="19" ht="22.5" customHeight="1">
      <c r="A19" s="61" t="s">
        <v>130</v>
      </c>
      <c r="B19" s="66">
        <v>2000.0</v>
      </c>
      <c r="C19" s="70">
        <v>1000.0</v>
      </c>
      <c r="D19" s="70"/>
      <c r="E19" s="71"/>
      <c r="F19" s="71"/>
      <c r="G19" s="71"/>
      <c r="H19" s="70">
        <v>2000.0</v>
      </c>
      <c r="I19" s="71"/>
      <c r="J19" s="71"/>
      <c r="K19" s="71"/>
      <c r="L19" s="71"/>
      <c r="M19" s="66"/>
      <c r="N19" s="52">
        <f t="shared" si="1"/>
        <v>5000</v>
      </c>
    </row>
    <row r="20" ht="22.5" customHeight="1">
      <c r="A20" s="22" t="s">
        <v>44</v>
      </c>
      <c r="B20" s="70">
        <v>0.0</v>
      </c>
      <c r="C20" s="70">
        <v>0.0</v>
      </c>
      <c r="D20" s="70">
        <v>0.0</v>
      </c>
      <c r="E20" s="70">
        <v>0.0</v>
      </c>
      <c r="F20" s="70">
        <v>0.0</v>
      </c>
      <c r="G20" s="70">
        <v>0.0</v>
      </c>
      <c r="H20" s="70">
        <v>0.0</v>
      </c>
      <c r="I20" s="70">
        <v>0.0</v>
      </c>
      <c r="J20" s="70">
        <v>0.0</v>
      </c>
      <c r="K20" s="70">
        <v>0.0</v>
      </c>
      <c r="L20" s="70">
        <v>0.0</v>
      </c>
      <c r="M20" s="66">
        <v>0.0</v>
      </c>
      <c r="N20" s="52">
        <f t="shared" si="1"/>
        <v>0</v>
      </c>
    </row>
    <row r="21" ht="22.5" customHeight="1">
      <c r="A21" s="22" t="s">
        <v>45</v>
      </c>
      <c r="B21" s="70">
        <v>0.0</v>
      </c>
      <c r="C21" s="70">
        <v>0.0</v>
      </c>
      <c r="D21" s="70">
        <v>0.0</v>
      </c>
      <c r="E21" s="70">
        <v>0.0</v>
      </c>
      <c r="F21" s="70">
        <v>0.0</v>
      </c>
      <c r="G21" s="70">
        <v>0.0</v>
      </c>
      <c r="H21" s="70">
        <v>0.0</v>
      </c>
      <c r="I21" s="70">
        <v>0.0</v>
      </c>
      <c r="J21" s="70">
        <v>0.0</v>
      </c>
      <c r="K21" s="70">
        <v>0.0</v>
      </c>
      <c r="L21" s="70">
        <v>0.0</v>
      </c>
      <c r="M21" s="66">
        <v>0.0</v>
      </c>
      <c r="N21" s="52">
        <f t="shared" si="1"/>
        <v>0</v>
      </c>
    </row>
    <row r="22" ht="22.5" customHeight="1">
      <c r="A22" s="22" t="s">
        <v>46</v>
      </c>
      <c r="B22" s="70">
        <v>0.0</v>
      </c>
      <c r="C22" s="70">
        <v>0.0</v>
      </c>
      <c r="D22" s="70">
        <v>0.0</v>
      </c>
      <c r="E22" s="70">
        <v>0.0</v>
      </c>
      <c r="F22" s="70">
        <v>0.0</v>
      </c>
      <c r="G22" s="70">
        <v>0.0</v>
      </c>
      <c r="H22" s="70">
        <v>0.0</v>
      </c>
      <c r="I22" s="70">
        <v>0.0</v>
      </c>
      <c r="J22" s="70">
        <v>0.0</v>
      </c>
      <c r="K22" s="70">
        <v>0.0</v>
      </c>
      <c r="L22" s="70">
        <v>0.0</v>
      </c>
      <c r="M22" s="66">
        <v>0.0</v>
      </c>
      <c r="N22" s="52">
        <f t="shared" si="1"/>
        <v>0</v>
      </c>
    </row>
    <row r="23" ht="22.5" customHeight="1">
      <c r="A23" s="22" t="s">
        <v>47</v>
      </c>
      <c r="B23" s="70">
        <v>0.0</v>
      </c>
      <c r="C23" s="70">
        <v>0.0</v>
      </c>
      <c r="D23" s="70">
        <v>0.0</v>
      </c>
      <c r="E23" s="70">
        <v>0.0</v>
      </c>
      <c r="F23" s="70">
        <v>0.0</v>
      </c>
      <c r="G23" s="70">
        <v>0.0</v>
      </c>
      <c r="H23" s="70">
        <v>0.0</v>
      </c>
      <c r="I23" s="70">
        <v>0.0</v>
      </c>
      <c r="J23" s="70">
        <v>0.0</v>
      </c>
      <c r="K23" s="70">
        <v>0.0</v>
      </c>
      <c r="L23" s="70">
        <v>0.0</v>
      </c>
      <c r="M23" s="66">
        <v>0.0</v>
      </c>
      <c r="N23" s="52">
        <f t="shared" si="1"/>
        <v>0</v>
      </c>
    </row>
    <row r="24" ht="22.5" customHeight="1">
      <c r="A24" s="69" t="s">
        <v>147</v>
      </c>
      <c r="B24" s="70">
        <v>1612.0</v>
      </c>
      <c r="C24" s="70"/>
      <c r="D24" s="70">
        <v>402.0</v>
      </c>
      <c r="E24" s="70">
        <v>11458.0</v>
      </c>
      <c r="F24" s="70"/>
      <c r="G24" s="70">
        <v>2018.0</v>
      </c>
      <c r="H24" s="70"/>
      <c r="I24" s="70"/>
      <c r="J24" s="70">
        <v>2135.0</v>
      </c>
      <c r="K24" s="70"/>
      <c r="L24" s="70"/>
      <c r="M24" s="66">
        <f>1563+800</f>
        <v>2363</v>
      </c>
      <c r="N24" s="52">
        <f t="shared" si="1"/>
        <v>19988</v>
      </c>
    </row>
    <row r="25" ht="22.5" customHeight="1">
      <c r="A25" s="72" t="s">
        <v>14</v>
      </c>
      <c r="B25" s="52">
        <f t="shared" ref="B25:N25" si="2">sum(B2:B24)</f>
        <v>17112</v>
      </c>
      <c r="C25" s="52">
        <f t="shared" si="2"/>
        <v>6000</v>
      </c>
      <c r="D25" s="52">
        <f t="shared" si="2"/>
        <v>9902</v>
      </c>
      <c r="E25" s="52">
        <f t="shared" si="2"/>
        <v>17958</v>
      </c>
      <c r="F25" s="52">
        <f t="shared" si="2"/>
        <v>6500</v>
      </c>
      <c r="G25" s="52">
        <f t="shared" si="2"/>
        <v>11518</v>
      </c>
      <c r="H25" s="52">
        <f t="shared" si="2"/>
        <v>8500</v>
      </c>
      <c r="I25" s="52">
        <f t="shared" si="2"/>
        <v>5500</v>
      </c>
      <c r="J25" s="52">
        <f t="shared" si="2"/>
        <v>7635</v>
      </c>
      <c r="K25" s="52">
        <f t="shared" si="2"/>
        <v>10000</v>
      </c>
      <c r="L25" s="52">
        <f t="shared" si="2"/>
        <v>3500</v>
      </c>
      <c r="M25" s="52">
        <f t="shared" si="2"/>
        <v>9863</v>
      </c>
      <c r="N25" s="52">
        <f t="shared" si="2"/>
        <v>113988</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3" width="8.5"/>
    <col customWidth="1" min="4" max="4" width="9.25"/>
    <col customWidth="1" min="5" max="5" width="8.75"/>
    <col customWidth="1" min="6" max="6" width="9.25"/>
    <col customWidth="1" min="7" max="7" width="9.63"/>
    <col customWidth="1" min="8" max="8" width="9.38"/>
    <col customWidth="1" min="9" max="9" width="9.13"/>
    <col customWidth="1" min="10" max="10" width="8.38"/>
    <col customWidth="1" min="11" max="11" width="8.88"/>
    <col customWidth="1" min="12" max="12" width="9.13"/>
    <col customWidth="1" min="13" max="14" width="8.88"/>
  </cols>
  <sheetData>
    <row r="1" ht="22.5" customHeight="1">
      <c r="A1" s="20" t="s">
        <v>13</v>
      </c>
      <c r="B1" s="65" t="s">
        <v>134</v>
      </c>
      <c r="C1" s="65" t="s">
        <v>135</v>
      </c>
      <c r="D1" s="65" t="s">
        <v>136</v>
      </c>
      <c r="E1" s="65" t="s">
        <v>137</v>
      </c>
      <c r="F1" s="65" t="s">
        <v>138</v>
      </c>
      <c r="G1" s="65" t="s">
        <v>139</v>
      </c>
      <c r="H1" s="65" t="s">
        <v>140</v>
      </c>
      <c r="I1" s="65" t="s">
        <v>141</v>
      </c>
      <c r="J1" s="65" t="s">
        <v>142</v>
      </c>
      <c r="K1" s="65" t="s">
        <v>143</v>
      </c>
      <c r="L1" s="65" t="s">
        <v>144</v>
      </c>
      <c r="M1" s="65" t="s">
        <v>145</v>
      </c>
      <c r="N1" s="65" t="s">
        <v>14</v>
      </c>
    </row>
    <row r="2" ht="22.5" customHeight="1">
      <c r="A2" s="50" t="s">
        <v>110</v>
      </c>
      <c r="B2" s="66">
        <v>2000.0</v>
      </c>
      <c r="C2" s="66">
        <v>500.0</v>
      </c>
      <c r="D2" s="66">
        <v>500.0</v>
      </c>
      <c r="E2" s="66">
        <v>1000.0</v>
      </c>
      <c r="F2" s="66">
        <v>500.0</v>
      </c>
      <c r="G2" s="66">
        <v>500.0</v>
      </c>
      <c r="H2" s="66">
        <v>500.0</v>
      </c>
      <c r="I2" s="71"/>
      <c r="J2" s="66">
        <v>2000.0</v>
      </c>
      <c r="K2" s="71"/>
      <c r="L2" s="66">
        <v>500.0</v>
      </c>
      <c r="M2" s="66">
        <v>500.0</v>
      </c>
      <c r="N2" s="52">
        <f t="shared" ref="N2:N24" si="1">sum(B2:M2)</f>
        <v>8500</v>
      </c>
    </row>
    <row r="3" ht="22.5" customHeight="1">
      <c r="A3" s="61" t="s">
        <v>111</v>
      </c>
      <c r="B3" s="66">
        <v>500.0</v>
      </c>
      <c r="C3" s="66">
        <v>500.0</v>
      </c>
      <c r="D3" s="66">
        <v>500.0</v>
      </c>
      <c r="E3" s="66">
        <v>500.0</v>
      </c>
      <c r="F3" s="66">
        <v>500.0</v>
      </c>
      <c r="G3" s="66">
        <v>500.0</v>
      </c>
      <c r="H3" s="66">
        <v>500.0</v>
      </c>
      <c r="I3" s="66">
        <v>500.0</v>
      </c>
      <c r="J3" s="66">
        <v>500.0</v>
      </c>
      <c r="K3" s="66">
        <v>500.0</v>
      </c>
      <c r="L3" s="66">
        <v>500.0</v>
      </c>
      <c r="M3" s="66">
        <v>500.0</v>
      </c>
      <c r="N3" s="52">
        <f t="shared" si="1"/>
        <v>6000</v>
      </c>
    </row>
    <row r="4" ht="22.5" customHeight="1">
      <c r="A4" s="61" t="s">
        <v>112</v>
      </c>
      <c r="B4" s="71"/>
      <c r="C4" s="71"/>
      <c r="D4" s="66">
        <v>2000.0</v>
      </c>
      <c r="E4" s="71"/>
      <c r="F4" s="71"/>
      <c r="G4" s="66">
        <v>2000.0</v>
      </c>
      <c r="H4" s="71"/>
      <c r="I4" s="71"/>
      <c r="J4" s="71"/>
      <c r="K4" s="66">
        <v>1000.0</v>
      </c>
      <c r="L4" s="66">
        <v>500.0</v>
      </c>
      <c r="M4" s="66">
        <v>500.0</v>
      </c>
      <c r="N4" s="52">
        <f t="shared" si="1"/>
        <v>6000</v>
      </c>
    </row>
    <row r="5" ht="22.5" customHeight="1">
      <c r="A5" s="61" t="s">
        <v>146</v>
      </c>
      <c r="B5" s="66">
        <v>1500.0</v>
      </c>
      <c r="C5" s="66">
        <v>1000.0</v>
      </c>
      <c r="D5" s="66">
        <v>500.0</v>
      </c>
      <c r="E5" s="66">
        <v>1000.0</v>
      </c>
      <c r="F5" s="66">
        <v>1000.0</v>
      </c>
      <c r="G5" s="66">
        <v>1000.0</v>
      </c>
      <c r="H5" s="66">
        <v>1000.0</v>
      </c>
      <c r="I5" s="66">
        <v>1000.0</v>
      </c>
      <c r="J5" s="66">
        <v>1000.0</v>
      </c>
      <c r="K5" s="66">
        <v>1000.0</v>
      </c>
      <c r="L5" s="66">
        <v>1000.0</v>
      </c>
      <c r="M5" s="66"/>
      <c r="N5" s="52">
        <f t="shared" si="1"/>
        <v>11000</v>
      </c>
    </row>
    <row r="6" ht="22.5" customHeight="1">
      <c r="A6" s="61" t="s">
        <v>30</v>
      </c>
      <c r="B6" s="71"/>
      <c r="C6" s="71"/>
      <c r="D6" s="66">
        <v>3000.0</v>
      </c>
      <c r="E6" s="71"/>
      <c r="F6" s="71"/>
      <c r="G6" s="71"/>
      <c r="H6" s="71"/>
      <c r="I6" s="71"/>
      <c r="J6" s="71"/>
      <c r="K6" s="71"/>
      <c r="L6" s="71"/>
      <c r="M6" s="71"/>
      <c r="N6" s="52">
        <f t="shared" si="1"/>
        <v>3000</v>
      </c>
    </row>
    <row r="7" ht="22.5" customHeight="1">
      <c r="A7" s="61" t="s">
        <v>125</v>
      </c>
      <c r="B7" s="71"/>
      <c r="C7" s="66">
        <v>2500.0</v>
      </c>
      <c r="D7" s="71"/>
      <c r="E7" s="71"/>
      <c r="F7" s="71"/>
      <c r="G7" s="71"/>
      <c r="H7" s="66">
        <v>3000.0</v>
      </c>
      <c r="I7" s="71"/>
      <c r="J7" s="66">
        <v>500.0</v>
      </c>
      <c r="K7" s="66">
        <v>1000.0</v>
      </c>
      <c r="L7" s="66">
        <v>2000.0</v>
      </c>
      <c r="M7" s="71"/>
      <c r="N7" s="52">
        <f t="shared" si="1"/>
        <v>9000</v>
      </c>
    </row>
    <row r="8" ht="22.5" customHeight="1">
      <c r="A8" s="61" t="s">
        <v>113</v>
      </c>
      <c r="B8" s="66">
        <v>500.0</v>
      </c>
      <c r="C8" s="66">
        <v>500.0</v>
      </c>
      <c r="D8" s="66">
        <v>500.0</v>
      </c>
      <c r="E8" s="66">
        <v>500.0</v>
      </c>
      <c r="F8" s="66">
        <v>500.0</v>
      </c>
      <c r="G8" s="66">
        <v>500.0</v>
      </c>
      <c r="H8" s="66">
        <v>500.0</v>
      </c>
      <c r="I8" s="71"/>
      <c r="J8" s="71"/>
      <c r="K8" s="71"/>
      <c r="L8" s="71"/>
      <c r="M8" s="71"/>
      <c r="N8" s="52">
        <f t="shared" si="1"/>
        <v>3500</v>
      </c>
    </row>
    <row r="9" ht="22.5" customHeight="1">
      <c r="A9" s="61" t="s">
        <v>114</v>
      </c>
      <c r="B9" s="66">
        <v>500.0</v>
      </c>
      <c r="C9" s="66">
        <v>500.0</v>
      </c>
      <c r="D9" s="66">
        <v>500.0</v>
      </c>
      <c r="E9" s="66">
        <v>500.0</v>
      </c>
      <c r="F9" s="66">
        <v>550.0</v>
      </c>
      <c r="G9" s="66">
        <v>500.0</v>
      </c>
      <c r="H9" s="66">
        <v>500.0</v>
      </c>
      <c r="I9" s="66">
        <v>500.0</v>
      </c>
      <c r="J9" s="71"/>
      <c r="K9" s="66">
        <v>1000.0</v>
      </c>
      <c r="L9" s="71"/>
      <c r="M9" s="66">
        <v>1000.0</v>
      </c>
      <c r="N9" s="52">
        <f t="shared" si="1"/>
        <v>6050</v>
      </c>
    </row>
    <row r="10" ht="22.5" customHeight="1">
      <c r="A10" s="61" t="s">
        <v>115</v>
      </c>
      <c r="B10" s="71"/>
      <c r="C10" s="71"/>
      <c r="D10" s="71"/>
      <c r="E10" s="66">
        <v>1000.0</v>
      </c>
      <c r="F10" s="71"/>
      <c r="G10" s="71"/>
      <c r="H10" s="71"/>
      <c r="I10" s="71"/>
      <c r="J10" s="71"/>
      <c r="K10" s="66">
        <v>1000.0</v>
      </c>
      <c r="L10" s="66">
        <v>2000.0</v>
      </c>
      <c r="M10" s="71"/>
      <c r="N10" s="52">
        <f t="shared" si="1"/>
        <v>4000</v>
      </c>
    </row>
    <row r="11" ht="22.5" customHeight="1">
      <c r="A11" s="61" t="s">
        <v>35</v>
      </c>
      <c r="B11" s="66">
        <v>1000.0</v>
      </c>
      <c r="C11" s="71"/>
      <c r="D11" s="66">
        <v>500.0</v>
      </c>
      <c r="E11" s="66">
        <v>500.0</v>
      </c>
      <c r="F11" s="71"/>
      <c r="G11" s="66">
        <v>1500.0</v>
      </c>
      <c r="H11" s="71"/>
      <c r="I11" s="66">
        <v>1000.0</v>
      </c>
      <c r="J11" s="71"/>
      <c r="K11" s="66">
        <v>500.0</v>
      </c>
      <c r="L11" s="66">
        <v>500.0</v>
      </c>
      <c r="M11" s="66">
        <v>500.0</v>
      </c>
      <c r="N11" s="52">
        <f t="shared" si="1"/>
        <v>6000</v>
      </c>
    </row>
    <row r="12" ht="22.5" customHeight="1">
      <c r="A12" s="61" t="s">
        <v>126</v>
      </c>
      <c r="B12" s="66">
        <v>500.0</v>
      </c>
      <c r="C12" s="66">
        <v>500.0</v>
      </c>
      <c r="D12" s="66">
        <v>500.0</v>
      </c>
      <c r="E12" s="66">
        <v>500.0</v>
      </c>
      <c r="F12" s="66">
        <v>500.0</v>
      </c>
      <c r="G12" s="66">
        <v>500.0</v>
      </c>
      <c r="H12" s="66">
        <v>500.0</v>
      </c>
      <c r="I12" s="66">
        <v>1000.0</v>
      </c>
      <c r="J12" s="71"/>
      <c r="K12" s="66">
        <v>1000.0</v>
      </c>
      <c r="L12" s="71"/>
      <c r="M12" s="70">
        <v>500.0</v>
      </c>
      <c r="N12" s="52">
        <f t="shared" si="1"/>
        <v>6000</v>
      </c>
    </row>
    <row r="13" ht="22.5" customHeight="1">
      <c r="A13" s="61" t="s">
        <v>37</v>
      </c>
      <c r="B13" s="66">
        <v>500.0</v>
      </c>
      <c r="C13" s="66">
        <v>500.0</v>
      </c>
      <c r="D13" s="66">
        <v>500.0</v>
      </c>
      <c r="E13" s="66">
        <v>500.0</v>
      </c>
      <c r="F13" s="66">
        <v>500.0</v>
      </c>
      <c r="G13" s="66">
        <v>500.0</v>
      </c>
      <c r="H13" s="66">
        <v>500.0</v>
      </c>
      <c r="I13" s="66">
        <v>500.0</v>
      </c>
      <c r="J13" s="66">
        <v>500.0</v>
      </c>
      <c r="K13" s="66">
        <v>500.0</v>
      </c>
      <c r="L13" s="66">
        <v>500.0</v>
      </c>
      <c r="M13" s="66">
        <v>500.0</v>
      </c>
      <c r="N13" s="52">
        <f t="shared" si="1"/>
        <v>6000</v>
      </c>
    </row>
    <row r="14" ht="22.5" customHeight="1">
      <c r="A14" s="61" t="s">
        <v>38</v>
      </c>
      <c r="B14" s="66">
        <v>1000.0</v>
      </c>
      <c r="C14" s="66">
        <v>500.0</v>
      </c>
      <c r="D14" s="66">
        <v>500.0</v>
      </c>
      <c r="E14" s="66">
        <v>500.0</v>
      </c>
      <c r="F14" s="71"/>
      <c r="G14" s="66">
        <v>1500.0</v>
      </c>
      <c r="H14" s="71"/>
      <c r="I14" s="66">
        <v>1000.0</v>
      </c>
      <c r="J14" s="71"/>
      <c r="K14" s="66">
        <v>500.0</v>
      </c>
      <c r="L14" s="66">
        <v>500.0</v>
      </c>
      <c r="M14" s="66">
        <v>500.0</v>
      </c>
      <c r="N14" s="52">
        <f t="shared" si="1"/>
        <v>6500</v>
      </c>
    </row>
    <row r="15" ht="22.5" customHeight="1">
      <c r="A15" s="61" t="s">
        <v>39</v>
      </c>
      <c r="B15" s="66">
        <v>1000.0</v>
      </c>
      <c r="C15" s="66">
        <v>1000.0</v>
      </c>
      <c r="D15" s="71"/>
      <c r="E15" s="71"/>
      <c r="F15" s="71"/>
      <c r="G15" s="71"/>
      <c r="H15" s="66">
        <v>2000.0</v>
      </c>
      <c r="I15" s="71"/>
      <c r="J15" s="71"/>
      <c r="K15" s="71"/>
      <c r="L15" s="66">
        <v>2000.0</v>
      </c>
      <c r="M15" s="71"/>
      <c r="N15" s="52">
        <f t="shared" si="1"/>
        <v>6000</v>
      </c>
    </row>
    <row r="16" ht="22.5" customHeight="1">
      <c r="A16" s="61" t="s">
        <v>40</v>
      </c>
      <c r="B16" s="66">
        <v>500.0</v>
      </c>
      <c r="C16" s="66">
        <v>500.0</v>
      </c>
      <c r="D16" s="66">
        <v>500.0</v>
      </c>
      <c r="E16" s="66">
        <v>500.0</v>
      </c>
      <c r="F16" s="66">
        <v>500.0</v>
      </c>
      <c r="G16" s="66">
        <v>500.0</v>
      </c>
      <c r="H16" s="66">
        <v>500.0</v>
      </c>
      <c r="I16" s="66">
        <v>500.0</v>
      </c>
      <c r="J16" s="66">
        <v>500.0</v>
      </c>
      <c r="K16" s="66">
        <v>500.0</v>
      </c>
      <c r="L16" s="66">
        <v>500.0</v>
      </c>
      <c r="M16" s="66">
        <v>500.0</v>
      </c>
      <c r="N16" s="52">
        <f t="shared" si="1"/>
        <v>6000</v>
      </c>
    </row>
    <row r="17" ht="22.5" customHeight="1">
      <c r="A17" s="61" t="s">
        <v>127</v>
      </c>
      <c r="B17" s="66">
        <v>500.0</v>
      </c>
      <c r="C17" s="71"/>
      <c r="D17" s="71"/>
      <c r="E17" s="71"/>
      <c r="F17" s="71"/>
      <c r="G17" s="66">
        <v>2000.0</v>
      </c>
      <c r="H17" s="71"/>
      <c r="I17" s="71"/>
      <c r="J17" s="71"/>
      <c r="K17" s="71"/>
      <c r="L17" s="71"/>
      <c r="M17" s="71"/>
      <c r="N17" s="52">
        <f t="shared" si="1"/>
        <v>2500</v>
      </c>
    </row>
    <row r="18" ht="22.5" customHeight="1">
      <c r="A18" s="61" t="s">
        <v>42</v>
      </c>
      <c r="B18" s="71"/>
      <c r="C18" s="66">
        <v>500.0</v>
      </c>
      <c r="D18" s="66">
        <v>500.0</v>
      </c>
      <c r="E18" s="66">
        <v>500.0</v>
      </c>
      <c r="F18" s="66">
        <v>500.0</v>
      </c>
      <c r="G18" s="66">
        <v>500.0</v>
      </c>
      <c r="H18" s="66">
        <v>500.0</v>
      </c>
      <c r="I18" s="71"/>
      <c r="J18" s="66">
        <v>1000.0</v>
      </c>
      <c r="K18" s="66">
        <v>500.0</v>
      </c>
      <c r="L18" s="66">
        <v>500.0</v>
      </c>
      <c r="M18" s="70">
        <v>500.0</v>
      </c>
      <c r="N18" s="52">
        <f t="shared" si="1"/>
        <v>5500</v>
      </c>
    </row>
    <row r="19" ht="22.5" customHeight="1">
      <c r="A19" s="61" t="s">
        <v>130</v>
      </c>
      <c r="B19" s="66">
        <v>1000.0</v>
      </c>
      <c r="C19" s="66">
        <v>1000.0</v>
      </c>
      <c r="D19" s="66">
        <v>500.0</v>
      </c>
      <c r="E19" s="66">
        <v>500.0</v>
      </c>
      <c r="F19" s="71"/>
      <c r="G19" s="66">
        <v>1000.0</v>
      </c>
      <c r="H19" s="66">
        <v>1000.0</v>
      </c>
      <c r="I19" s="71"/>
      <c r="J19" s="66">
        <v>1000.0</v>
      </c>
      <c r="K19" s="71"/>
      <c r="L19" s="71"/>
      <c r="M19" s="71"/>
      <c r="N19" s="52">
        <f t="shared" si="1"/>
        <v>6000</v>
      </c>
    </row>
    <row r="20" ht="22.5" customHeight="1">
      <c r="A20" s="22" t="s">
        <v>44</v>
      </c>
      <c r="B20" s="70">
        <v>0.0</v>
      </c>
      <c r="C20" s="70">
        <v>0.0</v>
      </c>
      <c r="D20" s="66">
        <v>0.0</v>
      </c>
      <c r="E20" s="70">
        <v>0.0</v>
      </c>
      <c r="F20" s="70">
        <v>0.0</v>
      </c>
      <c r="G20" s="66">
        <v>0.0</v>
      </c>
      <c r="H20" s="66">
        <v>0.0</v>
      </c>
      <c r="I20" s="70">
        <v>0.0</v>
      </c>
      <c r="J20" s="66">
        <v>0.0</v>
      </c>
      <c r="K20" s="70">
        <v>0.0</v>
      </c>
      <c r="L20" s="70">
        <v>0.0</v>
      </c>
      <c r="M20" s="66">
        <v>0.0</v>
      </c>
      <c r="N20" s="52">
        <f t="shared" si="1"/>
        <v>0</v>
      </c>
    </row>
    <row r="21" ht="22.5" customHeight="1">
      <c r="A21" s="22" t="s">
        <v>45</v>
      </c>
      <c r="B21" s="70">
        <v>0.0</v>
      </c>
      <c r="C21" s="70">
        <v>0.0</v>
      </c>
      <c r="D21" s="66">
        <v>0.0</v>
      </c>
      <c r="E21" s="70">
        <v>0.0</v>
      </c>
      <c r="F21" s="70">
        <v>0.0</v>
      </c>
      <c r="G21" s="66">
        <v>0.0</v>
      </c>
      <c r="H21" s="66">
        <v>0.0</v>
      </c>
      <c r="I21" s="70">
        <v>0.0</v>
      </c>
      <c r="J21" s="66">
        <v>0.0</v>
      </c>
      <c r="K21" s="70">
        <v>0.0</v>
      </c>
      <c r="L21" s="70">
        <v>0.0</v>
      </c>
      <c r="M21" s="66">
        <v>0.0</v>
      </c>
      <c r="N21" s="52">
        <f t="shared" si="1"/>
        <v>0</v>
      </c>
    </row>
    <row r="22" ht="22.5" customHeight="1">
      <c r="A22" s="22" t="s">
        <v>46</v>
      </c>
      <c r="B22" s="70">
        <v>0.0</v>
      </c>
      <c r="C22" s="70">
        <v>0.0</v>
      </c>
      <c r="D22" s="66">
        <v>0.0</v>
      </c>
      <c r="E22" s="70">
        <v>0.0</v>
      </c>
      <c r="F22" s="70">
        <v>0.0</v>
      </c>
      <c r="G22" s="66">
        <v>0.0</v>
      </c>
      <c r="H22" s="66">
        <v>0.0</v>
      </c>
      <c r="I22" s="70">
        <v>0.0</v>
      </c>
      <c r="J22" s="66">
        <v>0.0</v>
      </c>
      <c r="K22" s="70">
        <v>0.0</v>
      </c>
      <c r="L22" s="70">
        <v>0.0</v>
      </c>
      <c r="M22" s="66">
        <v>0.0</v>
      </c>
      <c r="N22" s="52">
        <f t="shared" si="1"/>
        <v>0</v>
      </c>
    </row>
    <row r="23" ht="22.5" customHeight="1">
      <c r="A23" s="22" t="s">
        <v>47</v>
      </c>
      <c r="B23" s="70">
        <v>0.0</v>
      </c>
      <c r="C23" s="70">
        <v>0.0</v>
      </c>
      <c r="D23" s="66">
        <v>0.0</v>
      </c>
      <c r="E23" s="70">
        <v>0.0</v>
      </c>
      <c r="F23" s="70">
        <v>0.0</v>
      </c>
      <c r="G23" s="66">
        <v>0.0</v>
      </c>
      <c r="H23" s="66">
        <v>0.0</v>
      </c>
      <c r="I23" s="70">
        <v>0.0</v>
      </c>
      <c r="J23" s="66">
        <v>0.0</v>
      </c>
      <c r="K23" s="70">
        <v>0.0</v>
      </c>
      <c r="L23" s="70">
        <v>0.0</v>
      </c>
      <c r="M23" s="66">
        <v>0.0</v>
      </c>
      <c r="N23" s="52">
        <f t="shared" si="1"/>
        <v>0</v>
      </c>
    </row>
    <row r="24" ht="22.5" customHeight="1">
      <c r="A24" s="69" t="s">
        <v>147</v>
      </c>
      <c r="B24" s="71"/>
      <c r="C24" s="71"/>
      <c r="D24" s="66">
        <v>500.0</v>
      </c>
      <c r="E24" s="71"/>
      <c r="F24" s="71"/>
      <c r="G24" s="66">
        <v>428.0</v>
      </c>
      <c r="H24" s="66">
        <v>2042.0</v>
      </c>
      <c r="I24" s="71"/>
      <c r="J24" s="66">
        <v>368.0</v>
      </c>
      <c r="K24" s="71"/>
      <c r="L24" s="71"/>
      <c r="M24" s="66">
        <v>135.0</v>
      </c>
      <c r="N24" s="52">
        <f t="shared" si="1"/>
        <v>3473</v>
      </c>
    </row>
    <row r="25" ht="22.5" customHeight="1">
      <c r="A25" s="51" t="s">
        <v>14</v>
      </c>
      <c r="B25" s="52">
        <f t="shared" ref="B25:N25" si="2">sum(B2:B24)</f>
        <v>11000</v>
      </c>
      <c r="C25" s="52">
        <f t="shared" si="2"/>
        <v>10000</v>
      </c>
      <c r="D25" s="52">
        <f t="shared" si="2"/>
        <v>11500</v>
      </c>
      <c r="E25" s="52">
        <f t="shared" si="2"/>
        <v>8000</v>
      </c>
      <c r="F25" s="52">
        <f t="shared" si="2"/>
        <v>5050</v>
      </c>
      <c r="G25" s="52">
        <f t="shared" si="2"/>
        <v>13428</v>
      </c>
      <c r="H25" s="52">
        <f t="shared" si="2"/>
        <v>13042</v>
      </c>
      <c r="I25" s="52">
        <f t="shared" si="2"/>
        <v>6000</v>
      </c>
      <c r="J25" s="52">
        <f t="shared" si="2"/>
        <v>7368</v>
      </c>
      <c r="K25" s="52">
        <f t="shared" si="2"/>
        <v>9000</v>
      </c>
      <c r="L25" s="52">
        <f t="shared" si="2"/>
        <v>11000</v>
      </c>
      <c r="M25" s="52">
        <f t="shared" si="2"/>
        <v>5635</v>
      </c>
      <c r="N25" s="52">
        <f t="shared" si="2"/>
        <v>111023</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5"/>
    <col customWidth="1" min="2" max="2" width="8.25"/>
    <col customWidth="1" min="3" max="3" width="8.38"/>
    <col customWidth="1" min="4" max="4" width="8.25"/>
    <col customWidth="1" min="5" max="5" width="8.13"/>
    <col customWidth="1" min="6" max="6" width="8.5"/>
    <col customWidth="1" min="7" max="7" width="8.38"/>
    <col customWidth="1" min="8" max="8" width="13.38"/>
  </cols>
  <sheetData>
    <row r="1" ht="22.5" customHeight="1">
      <c r="A1" s="20" t="s">
        <v>13</v>
      </c>
      <c r="B1" s="21" t="s">
        <v>104</v>
      </c>
      <c r="C1" s="21" t="s">
        <v>105</v>
      </c>
      <c r="D1" s="21" t="s">
        <v>106</v>
      </c>
      <c r="E1" s="21" t="s">
        <v>107</v>
      </c>
      <c r="F1" s="21" t="s">
        <v>108</v>
      </c>
      <c r="G1" s="21" t="s">
        <v>109</v>
      </c>
      <c r="H1" s="20" t="s">
        <v>148</v>
      </c>
    </row>
    <row r="2" ht="22.5" customHeight="1">
      <c r="A2" s="22" t="s">
        <v>26</v>
      </c>
      <c r="B2" s="66">
        <v>2000.0</v>
      </c>
      <c r="C2" s="71"/>
      <c r="D2" s="71"/>
      <c r="E2" s="66">
        <v>500.0</v>
      </c>
      <c r="F2" s="66">
        <v>500.0</v>
      </c>
      <c r="G2" s="66">
        <v>5000.0</v>
      </c>
      <c r="H2" s="73">
        <f t="shared" ref="H2:H24" si="1">sum(B2:G2)</f>
        <v>8000</v>
      </c>
    </row>
    <row r="3" ht="22.5" customHeight="1">
      <c r="A3" s="22" t="s">
        <v>27</v>
      </c>
      <c r="B3" s="71"/>
      <c r="C3" s="66">
        <v>2000.0</v>
      </c>
      <c r="D3" s="71"/>
      <c r="E3" s="66">
        <v>500.0</v>
      </c>
      <c r="F3" s="66">
        <v>500.0</v>
      </c>
      <c r="G3" s="66">
        <v>500.0</v>
      </c>
      <c r="H3" s="73">
        <f t="shared" si="1"/>
        <v>3500</v>
      </c>
    </row>
    <row r="4" ht="22.5" customHeight="1">
      <c r="A4" s="22" t="s">
        <v>28</v>
      </c>
      <c r="B4" s="71"/>
      <c r="C4" s="66">
        <v>2000.0</v>
      </c>
      <c r="D4" s="71"/>
      <c r="E4" s="66">
        <v>500.0</v>
      </c>
      <c r="F4" s="66">
        <v>500.0</v>
      </c>
      <c r="G4" s="66">
        <v>500.0</v>
      </c>
      <c r="H4" s="73">
        <f t="shared" si="1"/>
        <v>3500</v>
      </c>
    </row>
    <row r="5" ht="22.5" customHeight="1">
      <c r="A5" s="22" t="s">
        <v>29</v>
      </c>
      <c r="B5" s="66">
        <v>1300.0</v>
      </c>
      <c r="C5" s="66">
        <v>700.0</v>
      </c>
      <c r="D5" s="66">
        <v>500.0</v>
      </c>
      <c r="E5" s="71"/>
      <c r="F5" s="66">
        <v>500.0</v>
      </c>
      <c r="G5" s="66">
        <v>1000.0</v>
      </c>
      <c r="H5" s="73">
        <f t="shared" si="1"/>
        <v>4000</v>
      </c>
    </row>
    <row r="6" ht="22.5" customHeight="1">
      <c r="A6" s="22" t="s">
        <v>30</v>
      </c>
      <c r="B6" s="71"/>
      <c r="C6" s="66">
        <v>3000.0</v>
      </c>
      <c r="D6" s="71"/>
      <c r="E6" s="66">
        <v>3000.0</v>
      </c>
      <c r="F6" s="71"/>
      <c r="G6" s="71"/>
      <c r="H6" s="73">
        <f t="shared" si="1"/>
        <v>6000</v>
      </c>
    </row>
    <row r="7" ht="22.5" customHeight="1">
      <c r="A7" s="22" t="s">
        <v>31</v>
      </c>
      <c r="B7" s="71"/>
      <c r="C7" s="71"/>
      <c r="D7" s="66">
        <v>2000.0</v>
      </c>
      <c r="E7" s="66">
        <v>500.0</v>
      </c>
      <c r="F7" s="71"/>
      <c r="G7" s="66">
        <v>2000.0</v>
      </c>
      <c r="H7" s="73">
        <f t="shared" si="1"/>
        <v>4500</v>
      </c>
    </row>
    <row r="8" ht="22.5" customHeight="1">
      <c r="A8" s="22" t="s">
        <v>32</v>
      </c>
      <c r="B8" s="71"/>
      <c r="C8" s="66">
        <v>2000.0</v>
      </c>
      <c r="D8" s="71"/>
      <c r="E8" s="66">
        <v>500.0</v>
      </c>
      <c r="F8" s="66">
        <v>2000.0</v>
      </c>
      <c r="G8" s="66">
        <v>500.0</v>
      </c>
      <c r="H8" s="73">
        <f t="shared" si="1"/>
        <v>5000</v>
      </c>
    </row>
    <row r="9" ht="22.5" customHeight="1">
      <c r="A9" s="22" t="s">
        <v>33</v>
      </c>
      <c r="B9" s="66">
        <v>200.0</v>
      </c>
      <c r="C9" s="71"/>
      <c r="D9" s="71"/>
      <c r="E9" s="66">
        <v>2300.0</v>
      </c>
      <c r="F9" s="66">
        <v>500.0</v>
      </c>
      <c r="G9" s="66">
        <v>500.0</v>
      </c>
      <c r="H9" s="73">
        <f t="shared" si="1"/>
        <v>3500</v>
      </c>
    </row>
    <row r="10" ht="22.5" customHeight="1">
      <c r="A10" s="22" t="s">
        <v>34</v>
      </c>
      <c r="B10" s="71"/>
      <c r="C10" s="66">
        <v>2000.0</v>
      </c>
      <c r="D10" s="71"/>
      <c r="E10" s="71"/>
      <c r="F10" s="71"/>
      <c r="G10" s="66">
        <v>2000.0</v>
      </c>
      <c r="H10" s="73">
        <f t="shared" si="1"/>
        <v>4000</v>
      </c>
    </row>
    <row r="11" ht="22.5" customHeight="1">
      <c r="A11" s="22" t="s">
        <v>35</v>
      </c>
      <c r="B11" s="66">
        <v>2000.0</v>
      </c>
      <c r="C11" s="71"/>
      <c r="D11" s="71"/>
      <c r="E11" s="66">
        <v>500.0</v>
      </c>
      <c r="F11" s="66">
        <v>500.0</v>
      </c>
      <c r="G11" s="66">
        <v>500.0</v>
      </c>
      <c r="H11" s="73">
        <f t="shared" si="1"/>
        <v>3500</v>
      </c>
    </row>
    <row r="12" ht="22.5" customHeight="1">
      <c r="A12" s="22" t="s">
        <v>36</v>
      </c>
      <c r="B12" s="66">
        <v>2000.0</v>
      </c>
      <c r="C12" s="71"/>
      <c r="D12" s="71"/>
      <c r="E12" s="66">
        <v>500.0</v>
      </c>
      <c r="F12" s="66">
        <v>500.0</v>
      </c>
      <c r="G12" s="66">
        <v>500.0</v>
      </c>
      <c r="H12" s="73">
        <f t="shared" si="1"/>
        <v>3500</v>
      </c>
    </row>
    <row r="13" ht="22.5" customHeight="1">
      <c r="A13" s="22" t="s">
        <v>37</v>
      </c>
      <c r="B13" s="71"/>
      <c r="C13" s="71"/>
      <c r="D13" s="66">
        <v>2000.0</v>
      </c>
      <c r="E13" s="66">
        <v>500.0</v>
      </c>
      <c r="F13" s="66">
        <v>500.0</v>
      </c>
      <c r="G13" s="66">
        <v>500.0</v>
      </c>
      <c r="H13" s="73">
        <f t="shared" si="1"/>
        <v>3500</v>
      </c>
    </row>
    <row r="14" ht="22.5" customHeight="1">
      <c r="A14" s="22" t="s">
        <v>38</v>
      </c>
      <c r="B14" s="71"/>
      <c r="C14" s="71"/>
      <c r="D14" s="71"/>
      <c r="E14" s="66">
        <v>3500.0</v>
      </c>
      <c r="F14" s="66">
        <v>500.0</v>
      </c>
      <c r="G14" s="71"/>
      <c r="H14" s="73">
        <f t="shared" si="1"/>
        <v>4000</v>
      </c>
    </row>
    <row r="15" ht="22.5" customHeight="1">
      <c r="A15" s="22" t="s">
        <v>39</v>
      </c>
      <c r="B15" s="66">
        <v>2000.0</v>
      </c>
      <c r="C15" s="71"/>
      <c r="D15" s="71"/>
      <c r="E15" s="71"/>
      <c r="F15" s="66">
        <v>1000.0</v>
      </c>
      <c r="G15" s="71"/>
      <c r="H15" s="73">
        <f t="shared" si="1"/>
        <v>3000</v>
      </c>
    </row>
    <row r="16" ht="22.5" customHeight="1">
      <c r="A16" s="22" t="s">
        <v>40</v>
      </c>
      <c r="B16" s="71"/>
      <c r="C16" s="66">
        <v>2000.0</v>
      </c>
      <c r="D16" s="71"/>
      <c r="E16" s="66">
        <v>500.0</v>
      </c>
      <c r="F16" s="66">
        <v>500.0</v>
      </c>
      <c r="G16" s="66">
        <v>500.0</v>
      </c>
      <c r="H16" s="73">
        <f t="shared" si="1"/>
        <v>3500</v>
      </c>
    </row>
    <row r="17" ht="22.5" customHeight="1">
      <c r="A17" s="22" t="s">
        <v>41</v>
      </c>
      <c r="B17" s="71"/>
      <c r="C17" s="71"/>
      <c r="D17" s="66">
        <v>2500.0</v>
      </c>
      <c r="E17" s="71"/>
      <c r="F17" s="66">
        <v>1000.0</v>
      </c>
      <c r="G17" s="71"/>
      <c r="H17" s="73">
        <f t="shared" si="1"/>
        <v>3500</v>
      </c>
    </row>
    <row r="18" ht="22.5" customHeight="1">
      <c r="A18" s="22" t="s">
        <v>42</v>
      </c>
      <c r="B18" s="71"/>
      <c r="C18" s="66">
        <v>2000.0</v>
      </c>
      <c r="D18" s="71"/>
      <c r="E18" s="66">
        <v>2000.0</v>
      </c>
      <c r="F18" s="71"/>
      <c r="G18" s="71"/>
      <c r="H18" s="73">
        <f t="shared" si="1"/>
        <v>4000</v>
      </c>
    </row>
    <row r="19" ht="22.5" customHeight="1">
      <c r="A19" s="22" t="s">
        <v>43</v>
      </c>
      <c r="B19" s="71"/>
      <c r="C19" s="71"/>
      <c r="D19" s="71"/>
      <c r="E19" s="66">
        <v>2500.0</v>
      </c>
      <c r="F19" s="66">
        <v>500.0</v>
      </c>
      <c r="G19" s="66">
        <v>500.0</v>
      </c>
      <c r="H19" s="73">
        <f t="shared" si="1"/>
        <v>3500</v>
      </c>
    </row>
    <row r="20" ht="22.5" customHeight="1">
      <c r="A20" s="22" t="s">
        <v>44</v>
      </c>
      <c r="B20" s="66">
        <v>0.0</v>
      </c>
      <c r="C20" s="70">
        <v>0.0</v>
      </c>
      <c r="D20" s="70">
        <v>0.0</v>
      </c>
      <c r="E20" s="66">
        <v>0.0</v>
      </c>
      <c r="F20" s="70">
        <v>0.0</v>
      </c>
      <c r="G20" s="66">
        <v>0.0</v>
      </c>
      <c r="H20" s="73">
        <f t="shared" si="1"/>
        <v>0</v>
      </c>
    </row>
    <row r="21" ht="22.5" customHeight="1">
      <c r="A21" s="22" t="s">
        <v>45</v>
      </c>
      <c r="B21" s="66">
        <v>0.0</v>
      </c>
      <c r="C21" s="70">
        <v>0.0</v>
      </c>
      <c r="D21" s="70">
        <v>0.0</v>
      </c>
      <c r="E21" s="66">
        <v>0.0</v>
      </c>
      <c r="F21" s="70">
        <v>0.0</v>
      </c>
      <c r="G21" s="66">
        <v>0.0</v>
      </c>
      <c r="H21" s="73">
        <f t="shared" si="1"/>
        <v>0</v>
      </c>
    </row>
    <row r="22" ht="22.5" customHeight="1">
      <c r="A22" s="22" t="s">
        <v>46</v>
      </c>
      <c r="B22" s="66">
        <v>0.0</v>
      </c>
      <c r="C22" s="70">
        <v>0.0</v>
      </c>
      <c r="D22" s="70">
        <v>0.0</v>
      </c>
      <c r="E22" s="66">
        <v>0.0</v>
      </c>
      <c r="F22" s="70">
        <v>0.0</v>
      </c>
      <c r="G22" s="66">
        <v>0.0</v>
      </c>
      <c r="H22" s="73">
        <f t="shared" si="1"/>
        <v>0</v>
      </c>
    </row>
    <row r="23" ht="22.5" customHeight="1">
      <c r="A23" s="22" t="s">
        <v>47</v>
      </c>
      <c r="B23" s="66">
        <v>0.0</v>
      </c>
      <c r="C23" s="70">
        <v>0.0</v>
      </c>
      <c r="D23" s="70">
        <v>0.0</v>
      </c>
      <c r="E23" s="66">
        <v>0.0</v>
      </c>
      <c r="F23" s="70">
        <v>0.0</v>
      </c>
      <c r="G23" s="66">
        <v>0.0</v>
      </c>
      <c r="H23" s="73">
        <f t="shared" si="1"/>
        <v>0</v>
      </c>
    </row>
    <row r="24" ht="22.5" customHeight="1">
      <c r="A24" s="27" t="s">
        <v>147</v>
      </c>
      <c r="B24" s="66">
        <v>9.0</v>
      </c>
      <c r="C24" s="71"/>
      <c r="D24" s="71"/>
      <c r="E24" s="66">
        <v>311.0</v>
      </c>
      <c r="F24" s="71"/>
      <c r="G24" s="66">
        <v>384.0</v>
      </c>
      <c r="H24" s="73">
        <f t="shared" si="1"/>
        <v>704</v>
      </c>
    </row>
    <row r="25" ht="22.5" customHeight="1">
      <c r="A25" s="28" t="s">
        <v>14</v>
      </c>
      <c r="B25" s="74"/>
      <c r="C25" s="74"/>
      <c r="D25" s="74"/>
      <c r="E25" s="74"/>
      <c r="F25" s="74"/>
      <c r="G25" s="75"/>
      <c r="H25" s="76">
        <f>sum(H2:H24)</f>
        <v>74704</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5.88"/>
    <col customWidth="1" min="3" max="3" width="11.75"/>
    <col customWidth="1" min="4" max="4" width="23.0"/>
    <col customWidth="1" min="6" max="6" width="20.38"/>
    <col customWidth="1" min="7" max="7" width="15.5"/>
    <col customWidth="1" min="8" max="8" width="7.75"/>
    <col customWidth="1" min="10" max="10" width="18.75"/>
  </cols>
  <sheetData>
    <row r="2">
      <c r="A2" s="77" t="s">
        <v>149</v>
      </c>
      <c r="B2" s="78"/>
      <c r="C2" s="78"/>
      <c r="D2" s="2"/>
      <c r="F2" s="79" t="s">
        <v>150</v>
      </c>
      <c r="G2" s="78"/>
      <c r="H2" s="2"/>
      <c r="J2" s="80" t="s">
        <v>151</v>
      </c>
      <c r="K2" s="78"/>
      <c r="L2" s="2"/>
    </row>
    <row r="3">
      <c r="A3" s="81" t="s">
        <v>152</v>
      </c>
      <c r="B3" s="81" t="s">
        <v>153</v>
      </c>
      <c r="C3" s="82" t="s">
        <v>154</v>
      </c>
      <c r="D3" s="81" t="s">
        <v>14</v>
      </c>
      <c r="F3" s="81" t="s">
        <v>13</v>
      </c>
      <c r="G3" s="81" t="s">
        <v>155</v>
      </c>
      <c r="H3" s="81" t="s">
        <v>50</v>
      </c>
      <c r="J3" s="81" t="s">
        <v>13</v>
      </c>
      <c r="K3" s="81" t="s">
        <v>156</v>
      </c>
      <c r="L3" s="81" t="s">
        <v>50</v>
      </c>
    </row>
    <row r="4">
      <c r="A4" s="83">
        <v>2016.0</v>
      </c>
      <c r="B4" s="84">
        <f>sum('2016'!H2:H24)-sum('2016'!B24:G24)</f>
        <v>74000</v>
      </c>
      <c r="C4" s="85">
        <f>sum('2016'!B24:G24)</f>
        <v>704</v>
      </c>
      <c r="D4" s="84">
        <f t="shared" ref="D4:D8" si="1">sum(B4:C4)</f>
        <v>74704</v>
      </c>
      <c r="F4" s="86" t="s">
        <v>157</v>
      </c>
      <c r="G4" s="87">
        <v>43525.0</v>
      </c>
      <c r="H4" s="83">
        <v>5000.0</v>
      </c>
      <c r="J4" s="86" t="s">
        <v>158</v>
      </c>
      <c r="K4" s="88">
        <v>43313.0</v>
      </c>
      <c r="L4" s="83">
        <v>4800.0</v>
      </c>
    </row>
    <row r="5">
      <c r="A5" s="83">
        <v>2017.0</v>
      </c>
      <c r="B5" s="89">
        <f>sum('2017'!N2:N24)-sum('2017'!B24:M24)</f>
        <v>107550</v>
      </c>
      <c r="C5" s="89">
        <f>sum('2017'!B24:M24)</f>
        <v>3473</v>
      </c>
      <c r="D5" s="89">
        <f t="shared" si="1"/>
        <v>111023</v>
      </c>
      <c r="F5" s="86" t="s">
        <v>159</v>
      </c>
      <c r="G5" s="87">
        <v>43525.0</v>
      </c>
      <c r="H5" s="83">
        <v>2000.0</v>
      </c>
      <c r="J5" s="86" t="s">
        <v>160</v>
      </c>
      <c r="K5" s="88">
        <v>43314.0</v>
      </c>
      <c r="L5" s="83">
        <v>5000.0</v>
      </c>
    </row>
    <row r="6">
      <c r="A6" s="83">
        <v>2018.0</v>
      </c>
      <c r="B6" s="89">
        <f>sum('2018'!N2:N24)-sum('2018'!B24:M24)</f>
        <v>94000</v>
      </c>
      <c r="C6" s="89">
        <f>sum('2018'!B24:M24)</f>
        <v>19988</v>
      </c>
      <c r="D6" s="89">
        <f t="shared" si="1"/>
        <v>113988</v>
      </c>
      <c r="F6" s="86" t="s">
        <v>161</v>
      </c>
      <c r="G6" s="87">
        <v>43525.0</v>
      </c>
      <c r="H6" s="83">
        <v>2000.0</v>
      </c>
      <c r="J6" s="86" t="s">
        <v>162</v>
      </c>
      <c r="K6" s="88">
        <v>43315.0</v>
      </c>
      <c r="L6" s="83">
        <v>200.0</v>
      </c>
    </row>
    <row r="7">
      <c r="A7" s="83">
        <v>2019.0</v>
      </c>
      <c r="B7" s="89">
        <f>sum('2019'!N2:N24)-sum('2019'!B24:M24)</f>
        <v>53000</v>
      </c>
      <c r="C7" s="89">
        <f>sum('2019'!B24:M24)</f>
        <v>14203</v>
      </c>
      <c r="D7" s="89">
        <f t="shared" si="1"/>
        <v>67203</v>
      </c>
      <c r="F7" s="86" t="s">
        <v>163</v>
      </c>
      <c r="G7" s="87">
        <v>43525.0</v>
      </c>
      <c r="H7" s="83">
        <v>30000.0</v>
      </c>
      <c r="J7" s="90" t="s">
        <v>14</v>
      </c>
      <c r="K7" s="91"/>
      <c r="L7" s="92">
        <v>10000.0</v>
      </c>
    </row>
    <row r="8">
      <c r="A8" s="83">
        <v>2020.0</v>
      </c>
      <c r="B8" s="89">
        <f>sum('2020'!N2:N24)-sum('2020'!B24:M24)</f>
        <v>109405</v>
      </c>
      <c r="C8" s="89">
        <f>sum('2020'!B24:M24)</f>
        <v>11872</v>
      </c>
      <c r="D8" s="89">
        <f t="shared" si="1"/>
        <v>121277</v>
      </c>
      <c r="F8" s="90" t="s">
        <v>14</v>
      </c>
      <c r="G8" s="91"/>
      <c r="H8" s="93">
        <f>sum(H4:H7)</f>
        <v>39000</v>
      </c>
    </row>
    <row r="9">
      <c r="A9" s="83">
        <v>2021.0</v>
      </c>
      <c r="B9" s="94">
        <f t="shared" ref="B9:B10" si="2">D9-C9</f>
        <v>99700</v>
      </c>
      <c r="C9" s="95">
        <f>sum('2021'!B24:M24)</f>
        <v>21131</v>
      </c>
      <c r="D9" s="94">
        <f>sum('2021'!N2:N24)</f>
        <v>120831</v>
      </c>
      <c r="F9" s="96"/>
      <c r="G9" s="97"/>
      <c r="H9" s="98"/>
    </row>
    <row r="10">
      <c r="A10" s="99">
        <v>2022.0</v>
      </c>
      <c r="B10" s="100">
        <f t="shared" si="2"/>
        <v>51600</v>
      </c>
      <c r="C10" s="101">
        <v>9812.0</v>
      </c>
      <c r="D10" s="102">
        <v>61412.0</v>
      </c>
    </row>
    <row r="11">
      <c r="A11" s="99" t="s">
        <v>14</v>
      </c>
      <c r="B11" s="103">
        <f t="shared" ref="B11:D11" si="3">sum(B4:B10)</f>
        <v>589255</v>
      </c>
      <c r="C11" s="103">
        <f t="shared" si="3"/>
        <v>81183</v>
      </c>
      <c r="D11" s="89">
        <f t="shared" si="3"/>
        <v>670438</v>
      </c>
    </row>
    <row r="12">
      <c r="J12" s="104" t="s">
        <v>164</v>
      </c>
      <c r="K12" s="105"/>
      <c r="L12" s="105"/>
      <c r="M12" s="104" t="s">
        <v>62</v>
      </c>
    </row>
    <row r="13">
      <c r="A13" s="77" t="s">
        <v>2</v>
      </c>
      <c r="B13" s="2"/>
      <c r="C13" s="104" t="s">
        <v>85</v>
      </c>
      <c r="D13" s="106" t="s">
        <v>165</v>
      </c>
      <c r="E13" s="106" t="s">
        <v>50</v>
      </c>
      <c r="F13" s="77" t="s">
        <v>166</v>
      </c>
      <c r="G13" s="2"/>
      <c r="J13" s="104" t="s">
        <v>13</v>
      </c>
      <c r="K13" s="104" t="s">
        <v>50</v>
      </c>
      <c r="L13" s="107" t="s">
        <v>85</v>
      </c>
      <c r="M13" s="105"/>
    </row>
    <row r="14">
      <c r="A14" s="81" t="s">
        <v>167</v>
      </c>
      <c r="B14" s="81" t="s">
        <v>168</v>
      </c>
      <c r="C14" s="104"/>
      <c r="D14" s="108" t="s">
        <v>169</v>
      </c>
      <c r="E14" s="109">
        <v>113.0</v>
      </c>
      <c r="F14" s="81" t="s">
        <v>13</v>
      </c>
      <c r="G14" s="82" t="s">
        <v>50</v>
      </c>
      <c r="J14" s="104" t="s">
        <v>170</v>
      </c>
      <c r="K14" s="104">
        <v>100000.0</v>
      </c>
      <c r="L14" s="110">
        <v>43961.0</v>
      </c>
      <c r="M14" s="104" t="s">
        <v>171</v>
      </c>
    </row>
    <row r="15">
      <c r="A15" s="111" t="s">
        <v>172</v>
      </c>
      <c r="B15" s="83">
        <v>30000.0</v>
      </c>
      <c r="C15" s="104"/>
      <c r="D15" s="108" t="s">
        <v>173</v>
      </c>
      <c r="E15" s="109">
        <v>26.0</v>
      </c>
      <c r="F15" s="86" t="s">
        <v>174</v>
      </c>
      <c r="G15" s="83">
        <f>sum(D4:D10)</f>
        <v>670438</v>
      </c>
      <c r="J15" s="104" t="s">
        <v>175</v>
      </c>
      <c r="K15" s="104">
        <v>10000.0</v>
      </c>
      <c r="L15" s="107" t="s">
        <v>176</v>
      </c>
      <c r="M15" s="104" t="s">
        <v>69</v>
      </c>
    </row>
    <row r="16">
      <c r="A16" s="111" t="s">
        <v>177</v>
      </c>
      <c r="B16" s="83">
        <v>200.0</v>
      </c>
      <c r="C16" s="104"/>
      <c r="D16" s="112" t="s">
        <v>14</v>
      </c>
      <c r="E16" s="113">
        <v>139.0</v>
      </c>
      <c r="F16" s="86" t="s">
        <v>178</v>
      </c>
      <c r="G16" s="83">
        <v>141200.0</v>
      </c>
      <c r="J16" s="104" t="s">
        <v>80</v>
      </c>
      <c r="K16" s="104">
        <v>100000.0</v>
      </c>
      <c r="L16" s="110">
        <v>44412.0</v>
      </c>
      <c r="M16" s="104" t="s">
        <v>69</v>
      </c>
    </row>
    <row r="17">
      <c r="A17" s="111" t="s">
        <v>89</v>
      </c>
      <c r="B17" s="83">
        <v>30000.0</v>
      </c>
      <c r="C17" s="104"/>
      <c r="E17" s="114"/>
      <c r="F17" s="86" t="s">
        <v>63</v>
      </c>
      <c r="G17" s="83">
        <v>280000.0</v>
      </c>
      <c r="J17" s="104" t="s">
        <v>179</v>
      </c>
      <c r="K17" s="104">
        <v>100000.0</v>
      </c>
      <c r="L17" s="107" t="s">
        <v>180</v>
      </c>
      <c r="M17" s="104" t="s">
        <v>69</v>
      </c>
    </row>
    <row r="18">
      <c r="A18" s="86" t="s">
        <v>181</v>
      </c>
      <c r="B18" s="83">
        <v>6000.0</v>
      </c>
      <c r="C18" s="104"/>
      <c r="F18" s="86" t="s">
        <v>165</v>
      </c>
      <c r="G18" s="83">
        <v>139.0</v>
      </c>
      <c r="J18" s="104" t="s">
        <v>182</v>
      </c>
      <c r="K18" s="104">
        <v>25000.0</v>
      </c>
      <c r="L18" s="107" t="s">
        <v>183</v>
      </c>
      <c r="M18" s="104" t="s">
        <v>69</v>
      </c>
    </row>
    <row r="19">
      <c r="A19" s="86" t="s">
        <v>184</v>
      </c>
      <c r="B19" s="83">
        <v>25000.0</v>
      </c>
      <c r="C19" s="104" t="s">
        <v>185</v>
      </c>
      <c r="F19" s="115" t="s">
        <v>60</v>
      </c>
      <c r="G19" s="116">
        <f>G15-G16-G17-G18</f>
        <v>249099</v>
      </c>
      <c r="J19" s="56" t="s">
        <v>30</v>
      </c>
      <c r="K19" s="56">
        <v>80000.0</v>
      </c>
      <c r="L19" s="117">
        <v>44657.0</v>
      </c>
      <c r="M19" s="56" t="s">
        <v>77</v>
      </c>
    </row>
    <row r="20">
      <c r="A20" s="86" t="s">
        <v>186</v>
      </c>
      <c r="B20" s="83">
        <v>25000.0</v>
      </c>
      <c r="C20" s="118">
        <v>43958.0</v>
      </c>
      <c r="F20" s="119"/>
      <c r="G20" s="120"/>
      <c r="J20" s="56" t="s">
        <v>187</v>
      </c>
      <c r="K20" s="56">
        <v>50000.0</v>
      </c>
      <c r="L20" s="117">
        <v>44748.0</v>
      </c>
      <c r="M20" s="56" t="s">
        <v>69</v>
      </c>
    </row>
    <row r="21">
      <c r="A21" s="86" t="s">
        <v>188</v>
      </c>
      <c r="B21" s="83">
        <v>25000.0</v>
      </c>
      <c r="C21" s="121">
        <v>44232.0</v>
      </c>
      <c r="F21" s="119"/>
      <c r="G21" s="120"/>
    </row>
    <row r="22">
      <c r="A22" s="90" t="s">
        <v>14</v>
      </c>
      <c r="B22" s="93">
        <f>sum(B15:B21)</f>
        <v>141200</v>
      </c>
      <c r="C22" s="59"/>
    </row>
    <row r="23">
      <c r="C23" s="59"/>
    </row>
    <row r="24">
      <c r="C24" s="59"/>
      <c r="D24" s="59"/>
    </row>
    <row r="25">
      <c r="C25" s="59"/>
      <c r="D25" s="94" t="s">
        <v>13</v>
      </c>
      <c r="E25" s="94" t="s">
        <v>189</v>
      </c>
      <c r="F25" s="94" t="s">
        <v>85</v>
      </c>
      <c r="G25" s="104" t="s">
        <v>62</v>
      </c>
    </row>
    <row r="26">
      <c r="C26" s="59"/>
      <c r="D26" s="122" t="s">
        <v>182</v>
      </c>
      <c r="E26" s="104">
        <v>100000.0</v>
      </c>
      <c r="F26" s="123" t="s">
        <v>190</v>
      </c>
      <c r="G26" s="104" t="s">
        <v>69</v>
      </c>
    </row>
    <row r="27">
      <c r="C27" s="124"/>
      <c r="D27" s="59" t="s">
        <v>114</v>
      </c>
      <c r="E27" s="56">
        <v>10000.0</v>
      </c>
      <c r="F27" s="125">
        <v>44626.0</v>
      </c>
      <c r="G27" s="56" t="s">
        <v>69</v>
      </c>
      <c r="K27" s="126"/>
    </row>
    <row r="28">
      <c r="D28" s="56" t="s">
        <v>191</v>
      </c>
      <c r="E28" s="56">
        <v>100000.0</v>
      </c>
      <c r="F28" s="56" t="s">
        <v>192</v>
      </c>
      <c r="G28" s="56" t="s">
        <v>69</v>
      </c>
      <c r="K28" s="126"/>
    </row>
    <row r="29">
      <c r="D29" s="56" t="s">
        <v>193</v>
      </c>
      <c r="E29" s="56">
        <v>100000.0</v>
      </c>
      <c r="F29" s="117">
        <v>44563.0</v>
      </c>
      <c r="G29" s="56" t="s">
        <v>69</v>
      </c>
    </row>
  </sheetData>
  <mergeCells count="5">
    <mergeCell ref="A2:D2"/>
    <mergeCell ref="F2:H2"/>
    <mergeCell ref="J2:L2"/>
    <mergeCell ref="A13:B13"/>
    <mergeCell ref="F13:G1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0"/>
    <col customWidth="1" min="3" max="3" width="20.88"/>
    <col customWidth="1" min="4" max="4" width="18.13"/>
  </cols>
  <sheetData>
    <row r="1">
      <c r="A1" s="56" t="s">
        <v>85</v>
      </c>
      <c r="B1" s="56" t="s">
        <v>194</v>
      </c>
    </row>
    <row r="2">
      <c r="A2" s="127" t="s">
        <v>195</v>
      </c>
      <c r="B2" s="128" t="s">
        <v>196</v>
      </c>
    </row>
    <row r="3">
      <c r="A3" s="127" t="s">
        <v>197</v>
      </c>
      <c r="B3" s="104" t="s">
        <v>198</v>
      </c>
    </row>
    <row r="5">
      <c r="A5" s="129" t="s">
        <v>199</v>
      </c>
      <c r="B5" s="128" t="s">
        <v>200</v>
      </c>
      <c r="C5" s="130"/>
    </row>
    <row r="6">
      <c r="A6" s="130"/>
      <c r="C6" s="130"/>
    </row>
    <row r="7">
      <c r="A7" s="130" t="s">
        <v>201</v>
      </c>
      <c r="C7" s="130"/>
      <c r="D7" s="104" t="s">
        <v>114</v>
      </c>
      <c r="E7" s="127" t="s">
        <v>35</v>
      </c>
      <c r="F7" s="105"/>
      <c r="G7" s="105"/>
      <c r="H7" s="105"/>
      <c r="I7" s="105"/>
      <c r="J7" s="105"/>
      <c r="K7" s="105"/>
      <c r="L7" s="105"/>
      <c r="M7" s="105"/>
      <c r="N7" s="105"/>
      <c r="O7" s="105"/>
      <c r="P7" s="105"/>
      <c r="Q7" s="105"/>
      <c r="R7" s="105"/>
      <c r="S7" s="105"/>
    </row>
    <row r="8">
      <c r="A8" s="131" t="s">
        <v>202</v>
      </c>
      <c r="B8" s="127" t="s">
        <v>203</v>
      </c>
      <c r="C8" s="127" t="s">
        <v>204</v>
      </c>
      <c r="D8" s="94" t="s">
        <v>205</v>
      </c>
      <c r="E8" s="104" t="s">
        <v>206</v>
      </c>
      <c r="F8" s="105"/>
      <c r="G8" s="105"/>
      <c r="H8" s="105"/>
      <c r="I8" s="105"/>
      <c r="J8" s="105"/>
      <c r="K8" s="105"/>
      <c r="L8" s="105"/>
      <c r="M8" s="105"/>
      <c r="N8" s="105"/>
      <c r="O8" s="105"/>
      <c r="P8" s="105"/>
      <c r="Q8" s="105"/>
      <c r="R8" s="105"/>
      <c r="S8" s="105"/>
    </row>
    <row r="9">
      <c r="A9" s="104">
        <v>1.0</v>
      </c>
      <c r="B9" s="104" t="s">
        <v>207</v>
      </c>
      <c r="C9" s="104" t="s">
        <v>208</v>
      </c>
      <c r="D9" s="128" t="s">
        <v>209</v>
      </c>
      <c r="E9" s="104" t="s">
        <v>210</v>
      </c>
      <c r="F9" s="105"/>
      <c r="G9" s="105"/>
      <c r="H9" s="105"/>
      <c r="I9" s="105"/>
      <c r="J9" s="105"/>
      <c r="K9" s="105"/>
      <c r="L9" s="105"/>
      <c r="M9" s="105"/>
      <c r="N9" s="105"/>
      <c r="O9" s="105"/>
      <c r="P9" s="105"/>
      <c r="Q9" s="105"/>
      <c r="R9" s="105"/>
      <c r="S9" s="105"/>
    </row>
    <row r="10">
      <c r="A10" s="104">
        <v>2.0</v>
      </c>
      <c r="B10" s="128" t="s">
        <v>211</v>
      </c>
      <c r="C10" s="104" t="s">
        <v>208</v>
      </c>
      <c r="D10" s="104" t="s">
        <v>212</v>
      </c>
      <c r="E10" s="105"/>
      <c r="F10" s="105"/>
      <c r="G10" s="105"/>
      <c r="H10" s="105"/>
      <c r="I10" s="105"/>
      <c r="J10" s="105"/>
      <c r="K10" s="105"/>
      <c r="L10" s="105"/>
      <c r="M10" s="105"/>
      <c r="N10" s="105"/>
      <c r="O10" s="105"/>
      <c r="P10" s="105"/>
      <c r="Q10" s="105"/>
      <c r="R10" s="105"/>
      <c r="S10" s="105"/>
    </row>
    <row r="11">
      <c r="A11" s="104">
        <v>3.0</v>
      </c>
      <c r="B11" s="128" t="s">
        <v>213</v>
      </c>
      <c r="C11" s="104" t="s">
        <v>208</v>
      </c>
      <c r="D11" s="104" t="s">
        <v>212</v>
      </c>
      <c r="E11" s="105"/>
      <c r="F11" s="105"/>
      <c r="G11" s="105"/>
      <c r="H11" s="105"/>
      <c r="I11" s="105"/>
      <c r="J11" s="105"/>
      <c r="K11" s="105"/>
      <c r="L11" s="105"/>
      <c r="M11" s="105"/>
      <c r="N11" s="105"/>
      <c r="O11" s="105"/>
      <c r="P11" s="105"/>
      <c r="Q11" s="105"/>
      <c r="R11" s="105"/>
      <c r="S11" s="105"/>
    </row>
    <row r="12">
      <c r="A12" s="104">
        <v>4.0</v>
      </c>
      <c r="B12" s="128" t="s">
        <v>214</v>
      </c>
      <c r="C12" s="104" t="s">
        <v>215</v>
      </c>
      <c r="D12" s="104" t="s">
        <v>216</v>
      </c>
      <c r="E12" s="105"/>
      <c r="F12" s="105"/>
      <c r="G12" s="105"/>
      <c r="H12" s="105"/>
      <c r="I12" s="105"/>
      <c r="J12" s="105"/>
      <c r="K12" s="105"/>
      <c r="L12" s="105"/>
      <c r="M12" s="105"/>
      <c r="N12" s="105"/>
      <c r="O12" s="105"/>
      <c r="P12" s="105"/>
      <c r="Q12" s="105"/>
      <c r="R12" s="105"/>
      <c r="S12" s="105"/>
    </row>
    <row r="13">
      <c r="A13" s="104">
        <v>5.0</v>
      </c>
      <c r="B13" s="128" t="s">
        <v>217</v>
      </c>
      <c r="C13" s="104" t="s">
        <v>208</v>
      </c>
      <c r="D13" s="104" t="s">
        <v>212</v>
      </c>
      <c r="E13" s="105"/>
      <c r="F13" s="105"/>
      <c r="G13" s="105"/>
      <c r="H13" s="105"/>
      <c r="I13" s="105"/>
      <c r="J13" s="105"/>
      <c r="K13" s="105"/>
      <c r="L13" s="105"/>
      <c r="M13" s="105"/>
      <c r="N13" s="105"/>
      <c r="O13" s="105"/>
      <c r="P13" s="105"/>
      <c r="Q13" s="105"/>
      <c r="R13" s="105"/>
      <c r="S13" s="105"/>
    </row>
    <row r="14">
      <c r="A14" s="104">
        <v>6.0</v>
      </c>
      <c r="B14" s="128" t="s">
        <v>218</v>
      </c>
      <c r="C14" s="104" t="s">
        <v>208</v>
      </c>
      <c r="D14" s="104" t="s">
        <v>216</v>
      </c>
      <c r="E14" s="105"/>
      <c r="F14" s="105"/>
      <c r="G14" s="105"/>
      <c r="H14" s="105"/>
      <c r="I14" s="105"/>
      <c r="J14" s="105"/>
      <c r="K14" s="105"/>
      <c r="L14" s="105"/>
      <c r="M14" s="105"/>
      <c r="N14" s="105"/>
      <c r="O14" s="105"/>
      <c r="P14" s="105"/>
      <c r="Q14" s="105"/>
      <c r="R14" s="105"/>
      <c r="S14" s="105"/>
    </row>
    <row r="15">
      <c r="A15" s="104">
        <v>7.0</v>
      </c>
      <c r="B15" s="128" t="s">
        <v>219</v>
      </c>
      <c r="C15" s="104" t="s">
        <v>208</v>
      </c>
      <c r="D15" s="132" t="s">
        <v>220</v>
      </c>
      <c r="E15" s="104" t="s">
        <v>221</v>
      </c>
      <c r="F15" s="105"/>
      <c r="G15" s="105"/>
      <c r="H15" s="105"/>
      <c r="I15" s="105"/>
      <c r="J15" s="105"/>
      <c r="K15" s="105"/>
      <c r="L15" s="105"/>
      <c r="M15" s="105"/>
      <c r="N15" s="105"/>
      <c r="O15" s="105"/>
      <c r="P15" s="105"/>
      <c r="Q15" s="105"/>
      <c r="R15" s="105"/>
      <c r="S15" s="105"/>
    </row>
    <row r="16">
      <c r="A16" s="104">
        <v>8.0</v>
      </c>
      <c r="B16" s="128" t="s">
        <v>222</v>
      </c>
      <c r="C16" s="104" t="s">
        <v>215</v>
      </c>
      <c r="D16" s="104" t="s">
        <v>216</v>
      </c>
      <c r="E16" s="105"/>
      <c r="F16" s="105"/>
      <c r="G16" s="105"/>
      <c r="H16" s="105"/>
      <c r="I16" s="105"/>
      <c r="J16" s="105"/>
      <c r="K16" s="105"/>
      <c r="L16" s="105"/>
      <c r="M16" s="105"/>
      <c r="N16" s="105"/>
      <c r="O16" s="105"/>
      <c r="P16" s="105"/>
      <c r="Q16" s="105"/>
      <c r="R16" s="105"/>
      <c r="S16" s="105"/>
    </row>
    <row r="17">
      <c r="A17" s="128">
        <v>9.0</v>
      </c>
      <c r="B17" s="128" t="s">
        <v>223</v>
      </c>
      <c r="C17" s="128" t="s">
        <v>208</v>
      </c>
      <c r="D17" s="128" t="s">
        <v>224</v>
      </c>
      <c r="E17" s="105"/>
      <c r="F17" s="105"/>
      <c r="G17" s="105"/>
      <c r="H17" s="105"/>
      <c r="I17" s="105"/>
      <c r="J17" s="105"/>
      <c r="K17" s="105"/>
      <c r="L17" s="105"/>
      <c r="M17" s="105"/>
      <c r="N17" s="105"/>
      <c r="O17" s="105"/>
      <c r="P17" s="105"/>
      <c r="Q17" s="105"/>
      <c r="R17" s="105"/>
      <c r="S17" s="105"/>
    </row>
    <row r="18">
      <c r="A18" s="128">
        <v>10.0</v>
      </c>
      <c r="B18" s="128" t="s">
        <v>225</v>
      </c>
      <c r="C18" s="128" t="s">
        <v>26</v>
      </c>
      <c r="D18" s="104" t="s">
        <v>216</v>
      </c>
      <c r="E18" s="105"/>
      <c r="F18" s="105"/>
      <c r="G18" s="105"/>
      <c r="H18" s="105"/>
      <c r="I18" s="105"/>
      <c r="J18" s="105"/>
      <c r="K18" s="105"/>
      <c r="L18" s="105"/>
      <c r="M18" s="105"/>
      <c r="N18" s="105"/>
      <c r="O18" s="105"/>
      <c r="P18" s="105"/>
      <c r="Q18" s="105"/>
      <c r="R18" s="105"/>
      <c r="S18" s="105"/>
    </row>
    <row r="24">
      <c r="B24" s="56" t="s">
        <v>226</v>
      </c>
    </row>
    <row r="25">
      <c r="B25" s="56" t="s">
        <v>227</v>
      </c>
    </row>
    <row r="26">
      <c r="B26" s="56" t="s">
        <v>228</v>
      </c>
    </row>
    <row r="27">
      <c r="B27" s="56" t="s">
        <v>229</v>
      </c>
    </row>
    <row r="28">
      <c r="B28" s="56" t="s">
        <v>230</v>
      </c>
    </row>
    <row r="29">
      <c r="B29" s="56" t="s">
        <v>231</v>
      </c>
    </row>
    <row r="30">
      <c r="B30" s="56" t="s">
        <v>232</v>
      </c>
    </row>
    <row r="31">
      <c r="B31" s="56" t="s">
        <v>233</v>
      </c>
    </row>
    <row r="32">
      <c r="B32" s="56" t="s">
        <v>234</v>
      </c>
    </row>
    <row r="33">
      <c r="B33" s="56" t="s">
        <v>235</v>
      </c>
    </row>
  </sheetData>
  <hyperlinks>
    <hyperlink r:id="rId1" ref="A8"/>
    <hyperlink r:id="rId2" ref="D15"/>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5.88"/>
    <col customWidth="1" min="3" max="3" width="5.5"/>
    <col customWidth="1" min="4" max="4" width="4.63"/>
    <col customWidth="1" min="5" max="5" width="5.5"/>
    <col customWidth="1" min="6" max="6" width="4.63"/>
    <col customWidth="1" min="7" max="8" width="5.5"/>
    <col customWidth="1" min="9" max="9" width="7.13"/>
    <col customWidth="1" min="10" max="17" width="5.5"/>
    <col customWidth="1" min="18" max="18" width="8.38"/>
    <col customWidth="1" min="19" max="19" width="7.5"/>
    <col customWidth="1" min="20" max="20" width="6.13"/>
    <col customWidth="1" min="21" max="21" width="7.13"/>
    <col customWidth="1" min="22" max="22" width="7.63"/>
    <col customWidth="1" min="23" max="29" width="6.0"/>
    <col customWidth="1" min="30" max="30" width="7.0"/>
    <col customWidth="1" min="31" max="37" width="5.75"/>
  </cols>
  <sheetData>
    <row r="1">
      <c r="H1" s="133" t="s">
        <v>236</v>
      </c>
    </row>
    <row r="3">
      <c r="A3" s="134" t="s">
        <v>237</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2"/>
    </row>
    <row r="4">
      <c r="A4" s="135" t="s">
        <v>13</v>
      </c>
      <c r="B4" s="136" t="s">
        <v>238</v>
      </c>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2"/>
    </row>
    <row r="5">
      <c r="A5" s="137"/>
      <c r="B5" s="138" t="s">
        <v>239</v>
      </c>
      <c r="C5" s="138" t="s">
        <v>240</v>
      </c>
      <c r="D5" s="138" t="s">
        <v>241</v>
      </c>
      <c r="E5" s="138" t="s">
        <v>242</v>
      </c>
      <c r="F5" s="138" t="s">
        <v>243</v>
      </c>
      <c r="G5" s="138" t="s">
        <v>244</v>
      </c>
      <c r="H5" s="138" t="s">
        <v>245</v>
      </c>
      <c r="I5" s="138" t="s">
        <v>246</v>
      </c>
      <c r="J5" s="138" t="s">
        <v>247</v>
      </c>
      <c r="K5" s="138" t="s">
        <v>248</v>
      </c>
      <c r="L5" s="138" t="s">
        <v>249</v>
      </c>
      <c r="M5" s="138" t="s">
        <v>250</v>
      </c>
      <c r="N5" s="138" t="s">
        <v>239</v>
      </c>
      <c r="O5" s="138" t="s">
        <v>240</v>
      </c>
      <c r="P5" s="138" t="s">
        <v>241</v>
      </c>
      <c r="Q5" s="138" t="s">
        <v>242</v>
      </c>
      <c r="R5" s="138" t="s">
        <v>144</v>
      </c>
      <c r="S5" s="138" t="s">
        <v>145</v>
      </c>
      <c r="T5" s="138" t="s">
        <v>134</v>
      </c>
      <c r="U5" s="138" t="s">
        <v>135</v>
      </c>
      <c r="V5" s="138" t="s">
        <v>100</v>
      </c>
      <c r="W5" s="138" t="s">
        <v>251</v>
      </c>
      <c r="X5" s="138" t="s">
        <v>138</v>
      </c>
      <c r="Y5" s="138" t="s">
        <v>139</v>
      </c>
      <c r="Z5" s="138" t="s">
        <v>140</v>
      </c>
      <c r="AA5" s="138" t="s">
        <v>105</v>
      </c>
      <c r="AB5" s="138" t="s">
        <v>106</v>
      </c>
      <c r="AC5" s="138" t="s">
        <v>143</v>
      </c>
      <c r="AD5" s="138" t="s">
        <v>144</v>
      </c>
      <c r="AE5" s="138" t="s">
        <v>109</v>
      </c>
      <c r="AF5" s="138" t="s">
        <v>98</v>
      </c>
      <c r="AG5" s="138" t="s">
        <v>99</v>
      </c>
      <c r="AH5" s="138" t="s">
        <v>100</v>
      </c>
      <c r="AI5" s="138" t="s">
        <v>251</v>
      </c>
      <c r="AJ5" s="138" t="s">
        <v>102</v>
      </c>
      <c r="AK5" s="138" t="s">
        <v>14</v>
      </c>
    </row>
    <row r="6">
      <c r="A6" s="139" t="s">
        <v>252</v>
      </c>
      <c r="B6" s="140">
        <v>2000.0</v>
      </c>
      <c r="C6" s="141"/>
      <c r="D6" s="141"/>
      <c r="E6" s="140">
        <v>500.0</v>
      </c>
      <c r="F6" s="140">
        <v>500.0</v>
      </c>
      <c r="G6" s="140">
        <v>5000.0</v>
      </c>
      <c r="H6" s="140">
        <v>2000.0</v>
      </c>
      <c r="I6" s="140">
        <v>500.0</v>
      </c>
      <c r="J6" s="140">
        <v>500.0</v>
      </c>
      <c r="K6" s="140">
        <v>1000.0</v>
      </c>
      <c r="L6" s="140">
        <v>500.0</v>
      </c>
      <c r="M6" s="140">
        <v>500.0</v>
      </c>
      <c r="N6" s="140">
        <v>500.0</v>
      </c>
      <c r="O6" s="141"/>
      <c r="P6" s="140">
        <v>2000.0</v>
      </c>
      <c r="Q6" s="141"/>
      <c r="R6" s="140">
        <v>500.0</v>
      </c>
      <c r="S6" s="140">
        <v>500.0</v>
      </c>
      <c r="T6" s="140">
        <v>500.0</v>
      </c>
      <c r="U6" s="138">
        <v>500.0</v>
      </c>
      <c r="V6" s="138">
        <v>500.0</v>
      </c>
      <c r="W6" s="138">
        <v>500.0</v>
      </c>
      <c r="X6" s="138">
        <v>500.0</v>
      </c>
      <c r="Y6" s="138">
        <v>500.0</v>
      </c>
      <c r="Z6" s="138">
        <v>500.0</v>
      </c>
      <c r="AA6" s="138">
        <v>500.0</v>
      </c>
      <c r="AB6" s="138">
        <v>500.0</v>
      </c>
      <c r="AC6" s="138">
        <v>500.0</v>
      </c>
      <c r="AD6" s="138">
        <v>500.0</v>
      </c>
      <c r="AE6" s="140">
        <v>500.0</v>
      </c>
      <c r="AF6" s="140">
        <v>500.0</v>
      </c>
      <c r="AG6" s="140">
        <v>500.0</v>
      </c>
      <c r="AH6" s="140">
        <v>5500.0</v>
      </c>
      <c r="AI6" s="140">
        <v>500.0</v>
      </c>
      <c r="AJ6" s="140">
        <v>500.0</v>
      </c>
      <c r="AK6" s="140">
        <f t="shared" ref="AK6:AK22" si="1">SUM(B6:AJ6)</f>
        <v>30000</v>
      </c>
    </row>
    <row r="7">
      <c r="A7" s="139" t="s">
        <v>253</v>
      </c>
      <c r="B7" s="141"/>
      <c r="C7" s="140">
        <v>2000.0</v>
      </c>
      <c r="D7" s="141"/>
      <c r="E7" s="140">
        <v>500.0</v>
      </c>
      <c r="F7" s="140">
        <v>500.0</v>
      </c>
      <c r="G7" s="140">
        <v>500.0</v>
      </c>
      <c r="H7" s="140">
        <v>500.0</v>
      </c>
      <c r="I7" s="140">
        <v>500.0</v>
      </c>
      <c r="J7" s="140">
        <v>500.0</v>
      </c>
      <c r="K7" s="140">
        <v>500.0</v>
      </c>
      <c r="L7" s="140">
        <v>500.0</v>
      </c>
      <c r="M7" s="140">
        <v>500.0</v>
      </c>
      <c r="N7" s="140">
        <v>500.0</v>
      </c>
      <c r="O7" s="140">
        <v>500.0</v>
      </c>
      <c r="P7" s="140">
        <v>500.0</v>
      </c>
      <c r="Q7" s="140">
        <v>500.0</v>
      </c>
      <c r="R7" s="140">
        <v>500.0</v>
      </c>
      <c r="S7" s="140">
        <v>500.0</v>
      </c>
      <c r="T7" s="140">
        <v>500.0</v>
      </c>
      <c r="U7" s="138">
        <v>500.0</v>
      </c>
      <c r="V7" s="138">
        <v>1000.0</v>
      </c>
      <c r="W7" s="138">
        <v>500.0</v>
      </c>
      <c r="X7" s="138">
        <v>500.0</v>
      </c>
      <c r="Y7" s="138">
        <v>500.0</v>
      </c>
      <c r="Z7" s="138">
        <v>500.0</v>
      </c>
      <c r="AA7" s="138">
        <v>500.0</v>
      </c>
      <c r="AB7" s="138"/>
      <c r="AC7" s="138"/>
      <c r="AD7" s="138"/>
      <c r="AE7" s="140"/>
      <c r="AF7" s="140"/>
      <c r="AG7" s="140"/>
      <c r="AH7" s="140"/>
      <c r="AI7" s="140"/>
      <c r="AJ7" s="140"/>
      <c r="AK7" s="140">
        <f t="shared" si="1"/>
        <v>14000</v>
      </c>
    </row>
    <row r="8">
      <c r="A8" s="139" t="s">
        <v>254</v>
      </c>
      <c r="B8" s="141"/>
      <c r="C8" s="140">
        <v>2000.0</v>
      </c>
      <c r="D8" s="141"/>
      <c r="E8" s="140">
        <v>500.0</v>
      </c>
      <c r="F8" s="140">
        <v>500.0</v>
      </c>
      <c r="G8" s="140">
        <v>500.0</v>
      </c>
      <c r="H8" s="141"/>
      <c r="I8" s="141"/>
      <c r="J8" s="140">
        <v>2000.0</v>
      </c>
      <c r="K8" s="141"/>
      <c r="L8" s="141"/>
      <c r="M8" s="140">
        <v>2000.0</v>
      </c>
      <c r="N8" s="141"/>
      <c r="O8" s="141"/>
      <c r="P8" s="141"/>
      <c r="Q8" s="140">
        <v>1000.0</v>
      </c>
      <c r="R8" s="140">
        <v>500.0</v>
      </c>
      <c r="S8" s="140">
        <v>500.0</v>
      </c>
      <c r="T8" s="140">
        <v>1000.0</v>
      </c>
      <c r="U8" s="138"/>
      <c r="V8" s="138">
        <v>500.0</v>
      </c>
      <c r="W8" s="138">
        <v>500.0</v>
      </c>
      <c r="X8" s="138">
        <v>500.0</v>
      </c>
      <c r="Y8" s="138">
        <v>500.0</v>
      </c>
      <c r="Z8" s="138">
        <v>500.0</v>
      </c>
      <c r="AA8" s="138">
        <v>500.0</v>
      </c>
      <c r="AB8" s="138"/>
      <c r="AC8" s="138">
        <v>1000.0</v>
      </c>
      <c r="AD8" s="138"/>
      <c r="AE8" s="140">
        <v>1000.0</v>
      </c>
      <c r="AF8" s="140">
        <v>500.0</v>
      </c>
      <c r="AG8" s="140">
        <v>500.0</v>
      </c>
      <c r="AH8" s="140">
        <v>500.0</v>
      </c>
      <c r="AI8" s="140">
        <v>500.0</v>
      </c>
      <c r="AJ8" s="140">
        <v>500.0</v>
      </c>
      <c r="AK8" s="140">
        <f t="shared" si="1"/>
        <v>18000</v>
      </c>
    </row>
    <row r="9">
      <c r="A9" s="139" t="s">
        <v>255</v>
      </c>
      <c r="B9" s="140">
        <v>1300.0</v>
      </c>
      <c r="C9" s="140">
        <v>700.0</v>
      </c>
      <c r="D9" s="140">
        <v>500.0</v>
      </c>
      <c r="E9" s="141"/>
      <c r="F9" s="140">
        <v>500.0</v>
      </c>
      <c r="G9" s="140">
        <v>1000.0</v>
      </c>
      <c r="H9" s="140">
        <v>1500.0</v>
      </c>
      <c r="I9" s="140">
        <v>1000.0</v>
      </c>
      <c r="J9" s="140">
        <v>500.0</v>
      </c>
      <c r="K9" s="140">
        <v>1000.0</v>
      </c>
      <c r="L9" s="140">
        <v>1000.0</v>
      </c>
      <c r="M9" s="140">
        <v>1000.0</v>
      </c>
      <c r="N9" s="140">
        <v>1000.0</v>
      </c>
      <c r="O9" s="140">
        <v>1000.0</v>
      </c>
      <c r="P9" s="140">
        <v>1000.0</v>
      </c>
      <c r="Q9" s="140">
        <v>1000.0</v>
      </c>
      <c r="R9" s="140">
        <v>1000.0</v>
      </c>
      <c r="S9" s="140"/>
      <c r="T9" s="140">
        <v>2000.0</v>
      </c>
      <c r="U9" s="138"/>
      <c r="V9" s="138">
        <v>2000.0</v>
      </c>
      <c r="W9" s="141"/>
      <c r="X9" s="138">
        <v>2000.0</v>
      </c>
      <c r="Y9" s="138"/>
      <c r="Z9" s="138">
        <v>1000.0</v>
      </c>
      <c r="AA9" s="138">
        <v>1000.0</v>
      </c>
      <c r="AB9" s="138">
        <v>1000.0</v>
      </c>
      <c r="AC9" s="138">
        <v>500.0</v>
      </c>
      <c r="AD9" s="138">
        <v>500.0</v>
      </c>
      <c r="AE9" s="140">
        <v>500.0</v>
      </c>
      <c r="AF9" s="140"/>
      <c r="AG9" s="140"/>
      <c r="AH9" s="140">
        <v>500.0</v>
      </c>
      <c r="AI9" s="140">
        <v>500.0</v>
      </c>
      <c r="AJ9" s="140">
        <v>1000.0</v>
      </c>
      <c r="AK9" s="140">
        <f t="shared" si="1"/>
        <v>27500</v>
      </c>
    </row>
    <row r="10">
      <c r="A10" s="139" t="s">
        <v>256</v>
      </c>
      <c r="B10" s="141"/>
      <c r="C10" s="140">
        <v>3000.0</v>
      </c>
      <c r="D10" s="141"/>
      <c r="E10" s="140">
        <v>3000.0</v>
      </c>
      <c r="F10" s="141"/>
      <c r="G10" s="141"/>
      <c r="H10" s="141"/>
      <c r="I10" s="141"/>
      <c r="J10" s="140">
        <v>3000.0</v>
      </c>
      <c r="K10" s="141"/>
      <c r="L10" s="141"/>
      <c r="M10" s="141"/>
      <c r="N10" s="141"/>
      <c r="O10" s="141"/>
      <c r="P10" s="141"/>
      <c r="Q10" s="141"/>
      <c r="R10" s="141"/>
      <c r="S10" s="141"/>
      <c r="T10" s="141"/>
      <c r="U10" s="138"/>
      <c r="V10" s="141"/>
      <c r="W10" s="141"/>
      <c r="X10" s="141"/>
      <c r="Y10" s="141"/>
      <c r="Z10" s="141"/>
      <c r="AA10" s="141"/>
      <c r="AB10" s="141"/>
      <c r="AC10" s="141"/>
      <c r="AD10" s="141"/>
      <c r="AE10" s="140"/>
      <c r="AF10" s="140"/>
      <c r="AG10" s="140"/>
      <c r="AH10" s="140"/>
      <c r="AI10" s="140"/>
      <c r="AJ10" s="140"/>
      <c r="AK10" s="140">
        <f t="shared" si="1"/>
        <v>9000</v>
      </c>
    </row>
    <row r="11">
      <c r="A11" s="139" t="s">
        <v>257</v>
      </c>
      <c r="B11" s="141"/>
      <c r="C11" s="141"/>
      <c r="D11" s="140">
        <v>2000.0</v>
      </c>
      <c r="E11" s="140">
        <v>500.0</v>
      </c>
      <c r="F11" s="141"/>
      <c r="G11" s="140">
        <v>2000.0</v>
      </c>
      <c r="H11" s="141"/>
      <c r="I11" s="140">
        <v>2500.0</v>
      </c>
      <c r="J11" s="141"/>
      <c r="K11" s="141"/>
      <c r="L11" s="141"/>
      <c r="M11" s="141"/>
      <c r="N11" s="140">
        <v>3000.0</v>
      </c>
      <c r="O11" s="141"/>
      <c r="P11" s="140">
        <v>500.0</v>
      </c>
      <c r="Q11" s="140">
        <v>1000.0</v>
      </c>
      <c r="R11" s="140">
        <v>2000.0</v>
      </c>
      <c r="S11" s="141"/>
      <c r="T11" s="141"/>
      <c r="U11" s="138">
        <v>6800.0</v>
      </c>
      <c r="V11" s="141"/>
      <c r="W11" s="141"/>
      <c r="X11" s="141"/>
      <c r="Y11" s="141"/>
      <c r="Z11" s="141"/>
      <c r="AA11" s="141"/>
      <c r="AB11" s="138">
        <v>3000.0</v>
      </c>
      <c r="AC11" s="141"/>
      <c r="AD11" s="141"/>
      <c r="AE11" s="140"/>
      <c r="AF11" s="140"/>
      <c r="AG11" s="140"/>
      <c r="AH11" s="140"/>
      <c r="AI11" s="140">
        <v>3000.0</v>
      </c>
      <c r="AJ11" s="140"/>
      <c r="AK11" s="140">
        <f t="shared" si="1"/>
        <v>26300</v>
      </c>
    </row>
    <row r="12">
      <c r="A12" s="139" t="s">
        <v>258</v>
      </c>
      <c r="B12" s="141"/>
      <c r="C12" s="140">
        <v>2000.0</v>
      </c>
      <c r="D12" s="141"/>
      <c r="E12" s="140">
        <v>500.0</v>
      </c>
      <c r="F12" s="140">
        <v>2000.0</v>
      </c>
      <c r="G12" s="140">
        <v>500.0</v>
      </c>
      <c r="H12" s="140">
        <v>500.0</v>
      </c>
      <c r="I12" s="140">
        <v>500.0</v>
      </c>
      <c r="J12" s="140">
        <v>500.0</v>
      </c>
      <c r="K12" s="140">
        <v>500.0</v>
      </c>
      <c r="L12" s="140">
        <v>500.0</v>
      </c>
      <c r="M12" s="140">
        <v>500.0</v>
      </c>
      <c r="N12" s="140">
        <v>500.0</v>
      </c>
      <c r="O12" s="141"/>
      <c r="P12" s="141"/>
      <c r="Q12" s="141"/>
      <c r="R12" s="141"/>
      <c r="S12" s="141"/>
      <c r="T12" s="138">
        <v>1000.0</v>
      </c>
      <c r="U12" s="138"/>
      <c r="V12" s="138">
        <v>2000.0</v>
      </c>
      <c r="W12" s="138">
        <v>500.0</v>
      </c>
      <c r="X12" s="138"/>
      <c r="Y12" s="138">
        <v>1500.0</v>
      </c>
      <c r="Z12" s="138"/>
      <c r="AA12" s="138"/>
      <c r="AB12" s="138"/>
      <c r="AC12" s="138"/>
      <c r="AD12" s="138"/>
      <c r="AE12" s="140"/>
      <c r="AF12" s="140"/>
      <c r="AG12" s="140">
        <v>500.0</v>
      </c>
      <c r="AH12" s="140"/>
      <c r="AI12" s="140">
        <v>1000.0</v>
      </c>
      <c r="AJ12" s="140"/>
      <c r="AK12" s="140">
        <f t="shared" si="1"/>
        <v>15000</v>
      </c>
    </row>
    <row r="13">
      <c r="A13" s="139" t="s">
        <v>175</v>
      </c>
      <c r="B13" s="140">
        <v>200.0</v>
      </c>
      <c r="C13" s="141"/>
      <c r="D13" s="141"/>
      <c r="E13" s="140">
        <v>2300.0</v>
      </c>
      <c r="F13" s="140">
        <v>500.0</v>
      </c>
      <c r="G13" s="140">
        <v>500.0</v>
      </c>
      <c r="H13" s="140">
        <v>500.0</v>
      </c>
      <c r="I13" s="140">
        <v>500.0</v>
      </c>
      <c r="J13" s="140">
        <v>500.0</v>
      </c>
      <c r="K13" s="140">
        <v>500.0</v>
      </c>
      <c r="L13" s="140">
        <v>550.0</v>
      </c>
      <c r="M13" s="140">
        <v>500.0</v>
      </c>
      <c r="N13" s="140">
        <v>500.0</v>
      </c>
      <c r="O13" s="140">
        <v>500.0</v>
      </c>
      <c r="P13" s="141"/>
      <c r="Q13" s="140">
        <v>1000.0</v>
      </c>
      <c r="R13" s="141"/>
      <c r="S13" s="140">
        <v>1000.0</v>
      </c>
      <c r="T13" s="140">
        <v>500.0</v>
      </c>
      <c r="U13" s="138">
        <v>500.0</v>
      </c>
      <c r="V13" s="138">
        <v>500.0</v>
      </c>
      <c r="W13" s="138"/>
      <c r="X13" s="138">
        <v>1000.0</v>
      </c>
      <c r="Y13" s="138">
        <v>500.0</v>
      </c>
      <c r="Z13" s="138">
        <v>500.0</v>
      </c>
      <c r="AA13" s="138">
        <v>500.0</v>
      </c>
      <c r="AB13" s="138">
        <v>500.0</v>
      </c>
      <c r="AC13" s="138">
        <v>500.0</v>
      </c>
      <c r="AD13" s="138">
        <v>500.0</v>
      </c>
      <c r="AE13" s="140">
        <v>500.0</v>
      </c>
      <c r="AF13" s="140">
        <v>500.0</v>
      </c>
      <c r="AG13" s="140">
        <v>500.0</v>
      </c>
      <c r="AH13" s="140">
        <v>500.0</v>
      </c>
      <c r="AI13" s="140">
        <v>500.0</v>
      </c>
      <c r="AJ13" s="140">
        <v>500.0</v>
      </c>
      <c r="AK13" s="140">
        <f t="shared" si="1"/>
        <v>18050</v>
      </c>
    </row>
    <row r="14">
      <c r="A14" s="139" t="s">
        <v>259</v>
      </c>
      <c r="B14" s="141"/>
      <c r="C14" s="140">
        <v>2000.0</v>
      </c>
      <c r="D14" s="141"/>
      <c r="E14" s="141"/>
      <c r="F14" s="141"/>
      <c r="G14" s="140">
        <v>2000.0</v>
      </c>
      <c r="H14" s="141"/>
      <c r="I14" s="141"/>
      <c r="J14" s="141"/>
      <c r="K14" s="140">
        <v>1000.0</v>
      </c>
      <c r="L14" s="141"/>
      <c r="M14" s="141"/>
      <c r="N14" s="141"/>
      <c r="O14" s="141"/>
      <c r="P14" s="141"/>
      <c r="Q14" s="140">
        <v>1000.0</v>
      </c>
      <c r="R14" s="140">
        <v>2000.0</v>
      </c>
      <c r="S14" s="141"/>
      <c r="T14" s="141"/>
      <c r="U14" s="138"/>
      <c r="V14" s="141"/>
      <c r="W14" s="141"/>
      <c r="X14" s="141"/>
      <c r="Y14" s="138">
        <v>3000.0</v>
      </c>
      <c r="Z14" s="141"/>
      <c r="AA14" s="141"/>
      <c r="AB14" s="141"/>
      <c r="AC14" s="141"/>
      <c r="AD14" s="141"/>
      <c r="AE14" s="140"/>
      <c r="AF14" s="140"/>
      <c r="AG14" s="140">
        <v>5000.0</v>
      </c>
      <c r="AH14" s="140">
        <v>2000.0</v>
      </c>
      <c r="AI14" s="140"/>
      <c r="AJ14" s="140"/>
      <c r="AK14" s="140">
        <f t="shared" si="1"/>
        <v>18000</v>
      </c>
    </row>
    <row r="15">
      <c r="A15" s="139" t="s">
        <v>260</v>
      </c>
      <c r="B15" s="140">
        <v>2000.0</v>
      </c>
      <c r="C15" s="141"/>
      <c r="D15" s="141"/>
      <c r="E15" s="140">
        <v>500.0</v>
      </c>
      <c r="F15" s="140">
        <v>500.0</v>
      </c>
      <c r="G15" s="140">
        <v>500.0</v>
      </c>
      <c r="H15" s="140">
        <v>1000.0</v>
      </c>
      <c r="I15" s="141"/>
      <c r="J15" s="140">
        <v>500.0</v>
      </c>
      <c r="K15" s="140">
        <v>500.0</v>
      </c>
      <c r="L15" s="141"/>
      <c r="M15" s="140">
        <v>1500.0</v>
      </c>
      <c r="N15" s="141"/>
      <c r="O15" s="140">
        <v>1000.0</v>
      </c>
      <c r="P15" s="141"/>
      <c r="Q15" s="140">
        <v>500.0</v>
      </c>
      <c r="R15" s="140">
        <v>500.0</v>
      </c>
      <c r="S15" s="140">
        <v>500.0</v>
      </c>
      <c r="T15" s="140">
        <v>1000.0</v>
      </c>
      <c r="U15" s="138"/>
      <c r="V15" s="138">
        <v>500.0</v>
      </c>
      <c r="W15" s="138">
        <v>500.0</v>
      </c>
      <c r="X15" s="138">
        <v>500.0</v>
      </c>
      <c r="Y15" s="138">
        <v>500.0</v>
      </c>
      <c r="Z15" s="138">
        <v>500.0</v>
      </c>
      <c r="AA15" s="138">
        <v>500.0</v>
      </c>
      <c r="AB15" s="138"/>
      <c r="AC15" s="138">
        <v>1000.0</v>
      </c>
      <c r="AD15" s="138"/>
      <c r="AE15" s="140">
        <v>1000.0</v>
      </c>
      <c r="AF15" s="140">
        <v>500.0</v>
      </c>
      <c r="AG15" s="140">
        <v>500.0</v>
      </c>
      <c r="AH15" s="140">
        <v>500.0</v>
      </c>
      <c r="AI15" s="140">
        <v>500.0</v>
      </c>
      <c r="AJ15" s="140">
        <v>500.0</v>
      </c>
      <c r="AK15" s="140">
        <f t="shared" si="1"/>
        <v>18000</v>
      </c>
    </row>
    <row r="16">
      <c r="A16" s="139" t="s">
        <v>261</v>
      </c>
      <c r="B16" s="140">
        <v>2000.0</v>
      </c>
      <c r="C16" s="141"/>
      <c r="D16" s="141"/>
      <c r="E16" s="140">
        <v>500.0</v>
      </c>
      <c r="F16" s="140">
        <v>500.0</v>
      </c>
      <c r="G16" s="140">
        <v>500.0</v>
      </c>
      <c r="H16" s="140">
        <v>500.0</v>
      </c>
      <c r="I16" s="140">
        <v>500.0</v>
      </c>
      <c r="J16" s="140">
        <v>500.0</v>
      </c>
      <c r="K16" s="140">
        <v>500.0</v>
      </c>
      <c r="L16" s="140">
        <v>500.0</v>
      </c>
      <c r="M16" s="140">
        <v>500.0</v>
      </c>
      <c r="N16" s="140">
        <v>500.0</v>
      </c>
      <c r="O16" s="140">
        <v>1000.0</v>
      </c>
      <c r="P16" s="141"/>
      <c r="Q16" s="140">
        <v>1000.0</v>
      </c>
      <c r="R16" s="141"/>
      <c r="S16" s="138">
        <v>500.0</v>
      </c>
      <c r="T16" s="140">
        <v>500.0</v>
      </c>
      <c r="U16" s="138"/>
      <c r="V16" s="141"/>
      <c r="W16" s="138">
        <v>2000.0</v>
      </c>
      <c r="X16" s="138"/>
      <c r="Y16" s="138">
        <v>500.0</v>
      </c>
      <c r="Z16" s="138">
        <v>1000.0</v>
      </c>
      <c r="AA16" s="138"/>
      <c r="AB16" s="138"/>
      <c r="AC16" s="138"/>
      <c r="AD16" s="138"/>
      <c r="AE16" s="140">
        <v>2000.0</v>
      </c>
      <c r="AF16" s="140"/>
      <c r="AG16" s="140"/>
      <c r="AH16" s="140"/>
      <c r="AI16" s="140"/>
      <c r="AJ16" s="140"/>
      <c r="AK16" s="140">
        <f t="shared" si="1"/>
        <v>15500</v>
      </c>
    </row>
    <row r="17">
      <c r="A17" s="139" t="s">
        <v>262</v>
      </c>
      <c r="B17" s="141"/>
      <c r="C17" s="141"/>
      <c r="D17" s="140">
        <v>2000.0</v>
      </c>
      <c r="E17" s="140">
        <v>500.0</v>
      </c>
      <c r="F17" s="140">
        <v>500.0</v>
      </c>
      <c r="G17" s="140">
        <v>500.0</v>
      </c>
      <c r="H17" s="140">
        <v>500.0</v>
      </c>
      <c r="I17" s="140">
        <v>500.0</v>
      </c>
      <c r="J17" s="140">
        <v>500.0</v>
      </c>
      <c r="K17" s="140">
        <v>500.0</v>
      </c>
      <c r="L17" s="140">
        <v>500.0</v>
      </c>
      <c r="M17" s="140">
        <v>500.0</v>
      </c>
      <c r="N17" s="140">
        <v>500.0</v>
      </c>
      <c r="O17" s="140">
        <v>500.0</v>
      </c>
      <c r="P17" s="140">
        <v>500.0</v>
      </c>
      <c r="Q17" s="140">
        <v>500.0</v>
      </c>
      <c r="R17" s="140">
        <v>500.0</v>
      </c>
      <c r="S17" s="140">
        <v>500.0</v>
      </c>
      <c r="T17" s="140">
        <v>500.0</v>
      </c>
      <c r="U17" s="138">
        <v>500.0</v>
      </c>
      <c r="V17" s="138">
        <v>500.0</v>
      </c>
      <c r="W17" s="138">
        <v>500.0</v>
      </c>
      <c r="X17" s="138">
        <v>500.0</v>
      </c>
      <c r="Y17" s="138"/>
      <c r="Z17" s="138">
        <v>500.0</v>
      </c>
      <c r="AA17" s="138">
        <v>500.0</v>
      </c>
      <c r="AB17" s="138"/>
      <c r="AC17" s="138">
        <v>1000.0</v>
      </c>
      <c r="AD17" s="138">
        <v>500.0</v>
      </c>
      <c r="AE17" s="140">
        <v>500.0</v>
      </c>
      <c r="AF17" s="140"/>
      <c r="AG17" s="140">
        <v>500.0</v>
      </c>
      <c r="AH17" s="140">
        <v>500.0</v>
      </c>
      <c r="AI17" s="140"/>
      <c r="AJ17" s="140"/>
      <c r="AK17" s="140">
        <f t="shared" si="1"/>
        <v>16000</v>
      </c>
    </row>
    <row r="18">
      <c r="A18" s="139" t="s">
        <v>263</v>
      </c>
      <c r="B18" s="141"/>
      <c r="C18" s="141"/>
      <c r="D18" s="141"/>
      <c r="E18" s="140">
        <v>3500.0</v>
      </c>
      <c r="F18" s="140">
        <v>500.0</v>
      </c>
      <c r="G18" s="141"/>
      <c r="H18" s="140">
        <v>1000.0</v>
      </c>
      <c r="I18" s="140">
        <v>500.0</v>
      </c>
      <c r="J18" s="140">
        <v>500.0</v>
      </c>
      <c r="K18" s="140">
        <v>500.0</v>
      </c>
      <c r="L18" s="141"/>
      <c r="M18" s="140">
        <v>1500.0</v>
      </c>
      <c r="N18" s="141"/>
      <c r="O18" s="140">
        <v>1000.0</v>
      </c>
      <c r="P18" s="141"/>
      <c r="Q18" s="140">
        <v>500.0</v>
      </c>
      <c r="R18" s="140">
        <v>500.0</v>
      </c>
      <c r="S18" s="140">
        <v>500.0</v>
      </c>
      <c r="T18" s="140">
        <v>1000.0</v>
      </c>
      <c r="U18" s="138"/>
      <c r="V18" s="138">
        <v>500.0</v>
      </c>
      <c r="W18" s="138">
        <v>500.0</v>
      </c>
      <c r="X18" s="138">
        <v>500.0</v>
      </c>
      <c r="Y18" s="138">
        <v>500.0</v>
      </c>
      <c r="Z18" s="138">
        <v>500.0</v>
      </c>
      <c r="AA18" s="138">
        <v>500.0</v>
      </c>
      <c r="AB18" s="138"/>
      <c r="AC18" s="138">
        <v>1000.0</v>
      </c>
      <c r="AD18" s="138"/>
      <c r="AE18" s="140">
        <v>1000.0</v>
      </c>
      <c r="AF18" s="140">
        <v>500.0</v>
      </c>
      <c r="AG18" s="140">
        <v>500.0</v>
      </c>
      <c r="AH18" s="140">
        <v>500.0</v>
      </c>
      <c r="AI18" s="140">
        <v>500.0</v>
      </c>
      <c r="AJ18" s="140">
        <v>500.0</v>
      </c>
      <c r="AK18" s="140">
        <f t="shared" si="1"/>
        <v>19000</v>
      </c>
    </row>
    <row r="19">
      <c r="A19" s="139" t="s">
        <v>264</v>
      </c>
      <c r="B19" s="140">
        <v>2000.0</v>
      </c>
      <c r="C19" s="141"/>
      <c r="D19" s="141"/>
      <c r="E19" s="141"/>
      <c r="F19" s="140">
        <v>1000.0</v>
      </c>
      <c r="G19" s="141"/>
      <c r="H19" s="140">
        <v>1000.0</v>
      </c>
      <c r="I19" s="140">
        <v>1000.0</v>
      </c>
      <c r="J19" s="141"/>
      <c r="K19" s="141"/>
      <c r="L19" s="141"/>
      <c r="M19" s="141"/>
      <c r="N19" s="140">
        <v>2000.0</v>
      </c>
      <c r="O19" s="141"/>
      <c r="P19" s="141"/>
      <c r="Q19" s="141"/>
      <c r="R19" s="140">
        <v>2000.0</v>
      </c>
      <c r="S19" s="141"/>
      <c r="T19" s="141"/>
      <c r="U19" s="138">
        <v>5000.0</v>
      </c>
      <c r="V19" s="141"/>
      <c r="W19" s="141"/>
      <c r="X19" s="141"/>
      <c r="Y19" s="141"/>
      <c r="Z19" s="141"/>
      <c r="AA19" s="141"/>
      <c r="AB19" s="141"/>
      <c r="AC19" s="141"/>
      <c r="AD19" s="141"/>
      <c r="AE19" s="140"/>
      <c r="AF19" s="140"/>
      <c r="AG19" s="140"/>
      <c r="AH19" s="140"/>
      <c r="AI19" s="140"/>
      <c r="AJ19" s="140"/>
      <c r="AK19" s="140">
        <f t="shared" si="1"/>
        <v>14000</v>
      </c>
    </row>
    <row r="20">
      <c r="A20" s="139" t="s">
        <v>265</v>
      </c>
      <c r="B20" s="141"/>
      <c r="C20" s="140">
        <v>2000.0</v>
      </c>
      <c r="D20" s="141"/>
      <c r="E20" s="140">
        <v>500.0</v>
      </c>
      <c r="F20" s="140">
        <v>500.0</v>
      </c>
      <c r="G20" s="140">
        <v>500.0</v>
      </c>
      <c r="H20" s="140">
        <v>500.0</v>
      </c>
      <c r="I20" s="140">
        <v>500.0</v>
      </c>
      <c r="J20" s="140">
        <v>500.0</v>
      </c>
      <c r="K20" s="140">
        <v>500.0</v>
      </c>
      <c r="L20" s="140">
        <v>500.0</v>
      </c>
      <c r="M20" s="140">
        <v>500.0</v>
      </c>
      <c r="N20" s="140">
        <v>500.0</v>
      </c>
      <c r="O20" s="140">
        <v>500.0</v>
      </c>
      <c r="P20" s="140">
        <v>500.0</v>
      </c>
      <c r="Q20" s="140">
        <v>500.0</v>
      </c>
      <c r="R20" s="140">
        <v>500.0</v>
      </c>
      <c r="S20" s="140">
        <v>500.0</v>
      </c>
      <c r="T20" s="140">
        <v>500.0</v>
      </c>
      <c r="U20" s="138">
        <v>500.0</v>
      </c>
      <c r="V20" s="138">
        <v>1000.0</v>
      </c>
      <c r="W20" s="138">
        <v>500.0</v>
      </c>
      <c r="X20" s="138">
        <v>500.0</v>
      </c>
      <c r="Y20" s="138">
        <v>500.0</v>
      </c>
      <c r="Z20" s="138">
        <v>500.0</v>
      </c>
      <c r="AA20" s="138">
        <v>500.0</v>
      </c>
      <c r="AB20" s="138"/>
      <c r="AC20" s="138"/>
      <c r="AD20" s="138"/>
      <c r="AE20" s="140"/>
      <c r="AF20" s="140"/>
      <c r="AG20" s="140"/>
      <c r="AH20" s="140"/>
      <c r="AI20" s="140"/>
      <c r="AJ20" s="140"/>
      <c r="AK20" s="140">
        <f t="shared" si="1"/>
        <v>14000</v>
      </c>
    </row>
    <row r="21">
      <c r="A21" s="139" t="s">
        <v>266</v>
      </c>
      <c r="B21" s="141"/>
      <c r="C21" s="141"/>
      <c r="D21" s="140">
        <v>2500.0</v>
      </c>
      <c r="E21" s="141"/>
      <c r="F21" s="140">
        <v>1000.0</v>
      </c>
      <c r="G21" s="141"/>
      <c r="H21" s="140">
        <v>500.0</v>
      </c>
      <c r="I21" s="141"/>
      <c r="J21" s="141"/>
      <c r="K21" s="141"/>
      <c r="L21" s="141"/>
      <c r="M21" s="140">
        <v>2000.0</v>
      </c>
      <c r="N21" s="141"/>
      <c r="O21" s="141"/>
      <c r="P21" s="141"/>
      <c r="Q21" s="141"/>
      <c r="R21" s="141"/>
      <c r="S21" s="141"/>
      <c r="T21" s="140">
        <v>4000.0</v>
      </c>
      <c r="U21" s="138"/>
      <c r="V21" s="141"/>
      <c r="W21" s="141"/>
      <c r="X21" s="141"/>
      <c r="Y21" s="138"/>
      <c r="Z21" s="138"/>
      <c r="AA21" s="138"/>
      <c r="AB21" s="138"/>
      <c r="AC21" s="138">
        <v>4000.0</v>
      </c>
      <c r="AD21" s="138">
        <v>1000.0</v>
      </c>
      <c r="AE21" s="140">
        <v>500.0</v>
      </c>
      <c r="AF21" s="140"/>
      <c r="AG21" s="140">
        <v>1000.0</v>
      </c>
      <c r="AH21" s="140">
        <v>800.0</v>
      </c>
      <c r="AI21" s="140"/>
      <c r="AJ21" s="140"/>
      <c r="AK21" s="140">
        <f t="shared" si="1"/>
        <v>17300</v>
      </c>
    </row>
    <row r="22">
      <c r="A22" s="139" t="s">
        <v>267</v>
      </c>
      <c r="B22" s="141"/>
      <c r="C22" s="140">
        <v>2000.0</v>
      </c>
      <c r="D22" s="141"/>
      <c r="E22" s="140">
        <v>2000.0</v>
      </c>
      <c r="F22" s="141"/>
      <c r="G22" s="141"/>
      <c r="H22" s="141"/>
      <c r="I22" s="140">
        <v>500.0</v>
      </c>
      <c r="J22" s="140">
        <v>500.0</v>
      </c>
      <c r="K22" s="140">
        <v>500.0</v>
      </c>
      <c r="L22" s="140">
        <v>500.0</v>
      </c>
      <c r="M22" s="140">
        <v>500.0</v>
      </c>
      <c r="N22" s="140">
        <v>500.0</v>
      </c>
      <c r="O22" s="141"/>
      <c r="P22" s="140">
        <v>1000.0</v>
      </c>
      <c r="Q22" s="140">
        <v>500.0</v>
      </c>
      <c r="R22" s="140">
        <v>500.0</v>
      </c>
      <c r="S22" s="138">
        <v>500.0</v>
      </c>
      <c r="T22" s="140">
        <v>500.0</v>
      </c>
      <c r="U22" s="138">
        <v>500.0</v>
      </c>
      <c r="V22" s="138">
        <v>500.0</v>
      </c>
      <c r="W22" s="138">
        <v>500.0</v>
      </c>
      <c r="X22" s="138"/>
      <c r="Y22" s="138">
        <v>1000.0</v>
      </c>
      <c r="Z22" s="138">
        <v>500.0</v>
      </c>
      <c r="AA22" s="138">
        <v>500.0</v>
      </c>
      <c r="AB22" s="138">
        <v>500.0</v>
      </c>
      <c r="AC22" s="138">
        <v>500.0</v>
      </c>
      <c r="AD22" s="138">
        <v>500.0</v>
      </c>
      <c r="AE22" s="140"/>
      <c r="AF22" s="140"/>
      <c r="AG22" s="140"/>
      <c r="AH22" s="140"/>
      <c r="AI22" s="140"/>
      <c r="AJ22" s="140"/>
      <c r="AK22" s="140">
        <f t="shared" si="1"/>
        <v>15000</v>
      </c>
    </row>
    <row r="23">
      <c r="A23" s="139" t="s">
        <v>268</v>
      </c>
      <c r="B23" s="141"/>
      <c r="C23" s="141"/>
      <c r="D23" s="141"/>
      <c r="E23" s="140">
        <v>2500.0</v>
      </c>
      <c r="F23" s="140">
        <v>500.0</v>
      </c>
      <c r="G23" s="140">
        <v>500.0</v>
      </c>
      <c r="H23" s="140">
        <v>1000.0</v>
      </c>
      <c r="I23" s="140">
        <v>1000.0</v>
      </c>
      <c r="J23" s="140">
        <v>500.0</v>
      </c>
      <c r="K23" s="140">
        <v>500.0</v>
      </c>
      <c r="L23" s="141"/>
      <c r="M23" s="140">
        <v>1000.0</v>
      </c>
      <c r="N23" s="140">
        <v>1000.0</v>
      </c>
      <c r="O23" s="141"/>
      <c r="P23" s="140">
        <v>1000.0</v>
      </c>
      <c r="Q23" s="141"/>
      <c r="R23" s="141"/>
      <c r="S23" s="141"/>
      <c r="T23" s="140">
        <v>2000.0</v>
      </c>
      <c r="U23" s="138">
        <v>1000.0</v>
      </c>
      <c r="V23" s="138"/>
      <c r="W23" s="141"/>
      <c r="X23" s="141"/>
      <c r="Y23" s="141"/>
      <c r="Z23" s="138">
        <v>2000.0</v>
      </c>
      <c r="AA23" s="141"/>
      <c r="AB23" s="141"/>
      <c r="AC23" s="141"/>
      <c r="AD23" s="141"/>
      <c r="AE23" s="140"/>
      <c r="AF23" s="140"/>
      <c r="AG23" s="140"/>
      <c r="AH23" s="140"/>
      <c r="AI23" s="140"/>
      <c r="AJ23" s="140"/>
      <c r="AK23" s="140">
        <f t="shared" ref="AK23:AK24" si="2">SUM(B23:AD23)</f>
        <v>14500</v>
      </c>
    </row>
    <row r="24">
      <c r="A24" s="142" t="s">
        <v>147</v>
      </c>
      <c r="B24" s="140">
        <v>9.0</v>
      </c>
      <c r="C24" s="141"/>
      <c r="D24" s="141"/>
      <c r="E24" s="140">
        <v>311.0</v>
      </c>
      <c r="F24" s="141"/>
      <c r="G24" s="140">
        <v>384.0</v>
      </c>
      <c r="H24" s="141"/>
      <c r="I24" s="141"/>
      <c r="J24" s="140">
        <v>500.0</v>
      </c>
      <c r="K24" s="141"/>
      <c r="L24" s="141"/>
      <c r="M24" s="140">
        <v>428.0</v>
      </c>
      <c r="N24" s="140">
        <v>2042.0</v>
      </c>
      <c r="O24" s="141"/>
      <c r="P24" s="140">
        <v>368.0</v>
      </c>
      <c r="Q24" s="141"/>
      <c r="R24" s="141"/>
      <c r="S24" s="140">
        <v>135.0</v>
      </c>
      <c r="T24" s="138">
        <v>1612.0</v>
      </c>
      <c r="U24" s="138"/>
      <c r="V24" s="138">
        <v>402.0</v>
      </c>
      <c r="W24" s="138">
        <v>11458.0</v>
      </c>
      <c r="X24" s="138"/>
      <c r="Y24" s="138">
        <v>2018.0</v>
      </c>
      <c r="Z24" s="138"/>
      <c r="AA24" s="138"/>
      <c r="AB24" s="138">
        <v>2135.0</v>
      </c>
      <c r="AC24" s="138"/>
      <c r="AD24" s="138"/>
      <c r="AE24" s="140">
        <f>1563+800</f>
        <v>2363</v>
      </c>
      <c r="AF24" s="140"/>
      <c r="AG24" s="140">
        <v>1600.0</v>
      </c>
      <c r="AH24" s="140">
        <v>1369.0</v>
      </c>
      <c r="AI24" s="140"/>
      <c r="AJ24" s="140"/>
      <c r="AK24" s="140">
        <f t="shared" si="2"/>
        <v>21802</v>
      </c>
    </row>
    <row r="25">
      <c r="A25" s="143" t="s">
        <v>269</v>
      </c>
      <c r="B25" s="140">
        <f t="shared" ref="B25:V25" si="3">SUM(B6:B24)</f>
        <v>9509</v>
      </c>
      <c r="C25" s="140">
        <f t="shared" si="3"/>
        <v>15700</v>
      </c>
      <c r="D25" s="140">
        <f t="shared" si="3"/>
        <v>7000</v>
      </c>
      <c r="E25" s="140">
        <f t="shared" si="3"/>
        <v>18111</v>
      </c>
      <c r="F25" s="140">
        <f t="shared" si="3"/>
        <v>9500</v>
      </c>
      <c r="G25" s="140">
        <f t="shared" si="3"/>
        <v>14884</v>
      </c>
      <c r="H25" s="140">
        <f t="shared" si="3"/>
        <v>11000</v>
      </c>
      <c r="I25" s="140">
        <f t="shared" si="3"/>
        <v>10000</v>
      </c>
      <c r="J25" s="140">
        <f t="shared" si="3"/>
        <v>11500</v>
      </c>
      <c r="K25" s="140">
        <f t="shared" si="3"/>
        <v>8000</v>
      </c>
      <c r="L25" s="140">
        <f t="shared" si="3"/>
        <v>5050</v>
      </c>
      <c r="M25" s="140">
        <f t="shared" si="3"/>
        <v>13428</v>
      </c>
      <c r="N25" s="140">
        <f t="shared" si="3"/>
        <v>13042</v>
      </c>
      <c r="O25" s="140">
        <f t="shared" si="3"/>
        <v>6000</v>
      </c>
      <c r="P25" s="140">
        <f t="shared" si="3"/>
        <v>7368</v>
      </c>
      <c r="Q25" s="140">
        <f t="shared" si="3"/>
        <v>9000</v>
      </c>
      <c r="R25" s="140">
        <f t="shared" si="3"/>
        <v>11000</v>
      </c>
      <c r="S25" s="140">
        <f t="shared" si="3"/>
        <v>5635</v>
      </c>
      <c r="T25" s="140">
        <f t="shared" si="3"/>
        <v>17112</v>
      </c>
      <c r="U25" s="140">
        <f t="shared" si="3"/>
        <v>15800</v>
      </c>
      <c r="V25" s="141">
        <f t="shared" si="3"/>
        <v>9902</v>
      </c>
      <c r="W25" s="141">
        <f t="shared" ref="W25:X25" si="4">sum(W6:W24)</f>
        <v>17958</v>
      </c>
      <c r="X25" s="141">
        <f t="shared" si="4"/>
        <v>6500</v>
      </c>
      <c r="Y25" s="141">
        <f t="shared" ref="Y25:AC25" si="5">SUM(Y6:Y24)</f>
        <v>11518</v>
      </c>
      <c r="Z25" s="141">
        <f t="shared" si="5"/>
        <v>8500</v>
      </c>
      <c r="AA25" s="141">
        <f t="shared" si="5"/>
        <v>5500</v>
      </c>
      <c r="AB25" s="141">
        <f t="shared" si="5"/>
        <v>7635</v>
      </c>
      <c r="AC25" s="141">
        <f t="shared" si="5"/>
        <v>10000</v>
      </c>
      <c r="AD25" s="141">
        <f t="shared" ref="AD25:AJ25" si="6">sum(AD6:AD24)</f>
        <v>3500</v>
      </c>
      <c r="AE25" s="140">
        <f t="shared" si="6"/>
        <v>9863</v>
      </c>
      <c r="AF25" s="140">
        <f t="shared" si="6"/>
        <v>2500</v>
      </c>
      <c r="AG25" s="140">
        <f t="shared" si="6"/>
        <v>11100</v>
      </c>
      <c r="AH25" s="140">
        <f t="shared" si="6"/>
        <v>12669</v>
      </c>
      <c r="AI25" s="140">
        <f t="shared" si="6"/>
        <v>7000</v>
      </c>
      <c r="AJ25" s="140">
        <f t="shared" si="6"/>
        <v>3500</v>
      </c>
      <c r="AK25" s="144">
        <f>sum(B25:AJ25)</f>
        <v>346284</v>
      </c>
    </row>
    <row r="26">
      <c r="A26" s="145" t="s">
        <v>270</v>
      </c>
      <c r="B26" s="78"/>
      <c r="C26" s="78"/>
      <c r="D26" s="78"/>
      <c r="E26" s="78"/>
      <c r="F26" s="78"/>
      <c r="G26" s="78"/>
      <c r="H26" s="78"/>
      <c r="I26" s="78"/>
      <c r="J26" s="2"/>
      <c r="K26" s="146">
        <v>11979.0</v>
      </c>
      <c r="L26" s="146">
        <v>12430.0</v>
      </c>
      <c r="M26" s="146">
        <v>12904.0</v>
      </c>
      <c r="N26" s="146">
        <v>13304.0</v>
      </c>
      <c r="O26" s="146">
        <v>13502.0</v>
      </c>
      <c r="P26" s="146">
        <v>13802.0</v>
      </c>
      <c r="Q26" s="146">
        <v>14002.0</v>
      </c>
      <c r="R26" s="146">
        <v>14202.4</v>
      </c>
      <c r="S26" s="144">
        <v>14302.36</v>
      </c>
      <c r="T26" s="146">
        <v>14662.36</v>
      </c>
      <c r="U26" s="146">
        <v>14852.36</v>
      </c>
      <c r="V26" s="146">
        <v>18600.0</v>
      </c>
      <c r="W26" s="147"/>
      <c r="X26" s="147"/>
      <c r="Y26" s="147"/>
      <c r="Z26" s="147"/>
      <c r="AA26" s="147"/>
      <c r="AB26" s="147"/>
      <c r="AC26" s="147"/>
      <c r="AD26" s="147"/>
      <c r="AE26" s="144"/>
      <c r="AF26" s="144"/>
      <c r="AG26" s="144"/>
      <c r="AH26" s="144"/>
      <c r="AI26" s="144"/>
      <c r="AJ26" s="144"/>
      <c r="AK26">
        <f>sum(K26:V26)</f>
        <v>168542.48</v>
      </c>
    </row>
    <row r="27">
      <c r="A27" s="145" t="s">
        <v>30</v>
      </c>
      <c r="B27" s="148"/>
      <c r="C27" s="148"/>
      <c r="D27" s="148"/>
      <c r="E27" s="148"/>
      <c r="F27" s="148"/>
      <c r="G27" s="148"/>
      <c r="H27" s="148"/>
      <c r="I27" s="148"/>
      <c r="J27" s="148"/>
      <c r="K27" s="148"/>
      <c r="L27" s="148"/>
      <c r="M27" s="148"/>
      <c r="N27" s="148"/>
      <c r="O27" s="148"/>
      <c r="P27" s="148"/>
      <c r="Q27" s="148"/>
      <c r="R27" s="148"/>
      <c r="S27" s="145" t="s">
        <v>271</v>
      </c>
      <c r="T27" s="78"/>
      <c r="U27" s="78"/>
      <c r="V27" s="2"/>
      <c r="W27" s="146"/>
      <c r="X27" s="146"/>
      <c r="Y27" s="146"/>
      <c r="Z27" s="146"/>
      <c r="AA27" s="146"/>
      <c r="AB27" s="146"/>
      <c r="AC27" s="146"/>
      <c r="AD27" s="146"/>
      <c r="AE27" s="144"/>
      <c r="AF27" s="144"/>
      <c r="AG27" s="144"/>
      <c r="AH27" s="144"/>
      <c r="AI27" s="144"/>
      <c r="AJ27" s="144"/>
      <c r="AK27" s="144">
        <v>30009.0</v>
      </c>
    </row>
    <row r="28">
      <c r="A28" s="149" t="s">
        <v>272</v>
      </c>
      <c r="B28" s="150"/>
      <c r="C28" s="150"/>
      <c r="D28" s="150"/>
      <c r="E28" s="150"/>
      <c r="F28" s="150"/>
      <c r="G28" s="150"/>
      <c r="H28" s="150"/>
      <c r="I28" s="150"/>
      <c r="J28" s="150"/>
      <c r="K28" s="150"/>
      <c r="L28" s="150"/>
      <c r="M28" s="150"/>
      <c r="N28" s="150"/>
      <c r="O28" s="150"/>
      <c r="P28" s="150"/>
      <c r="Q28" s="150"/>
      <c r="R28" s="150"/>
      <c r="S28" s="151"/>
      <c r="T28" s="151"/>
      <c r="U28" s="151"/>
      <c r="V28" s="151"/>
      <c r="W28" s="151"/>
      <c r="X28" s="151"/>
      <c r="Y28" s="151"/>
      <c r="Z28" s="151"/>
      <c r="AA28" s="151"/>
      <c r="AB28" s="151"/>
      <c r="AC28" s="151"/>
      <c r="AD28" s="151"/>
      <c r="AE28" s="152"/>
      <c r="AF28" s="152"/>
      <c r="AG28" s="152"/>
      <c r="AH28" s="152"/>
      <c r="AI28" s="152"/>
      <c r="AJ28" s="152"/>
      <c r="AK28" s="152">
        <v>10000.0</v>
      </c>
    </row>
    <row r="29">
      <c r="A29" s="153" t="s">
        <v>273</v>
      </c>
      <c r="B29" s="154"/>
      <c r="C29" s="155"/>
      <c r="D29" s="155"/>
      <c r="E29" s="155"/>
      <c r="F29" s="155"/>
      <c r="G29" s="155"/>
      <c r="H29" s="155"/>
      <c r="I29" s="155"/>
      <c r="J29" s="155"/>
      <c r="K29" s="155"/>
      <c r="L29" s="155"/>
      <c r="M29" s="156"/>
      <c r="N29" s="153">
        <v>50000.0</v>
      </c>
      <c r="O29" s="153"/>
      <c r="P29" s="153"/>
      <c r="Q29" s="153"/>
      <c r="R29" s="153"/>
      <c r="S29" s="157"/>
      <c r="T29" s="157"/>
      <c r="U29" s="157"/>
      <c r="V29" s="157"/>
      <c r="W29" s="157"/>
      <c r="X29" s="157"/>
      <c r="Y29" s="157"/>
      <c r="Z29" s="157"/>
      <c r="AA29" s="157"/>
      <c r="AB29" s="157"/>
      <c r="AC29" s="157"/>
      <c r="AD29" s="157"/>
      <c r="AE29" s="158"/>
      <c r="AF29" s="158"/>
      <c r="AG29" s="158"/>
      <c r="AH29" s="158"/>
      <c r="AI29" s="158"/>
      <c r="AJ29" s="158"/>
      <c r="AK29" s="158"/>
    </row>
    <row r="30">
      <c r="A30" s="153" t="s">
        <v>274</v>
      </c>
      <c r="B30" s="159">
        <v>100000.0</v>
      </c>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2"/>
      <c r="AE30" s="160"/>
      <c r="AF30" s="160"/>
      <c r="AG30" s="160"/>
      <c r="AH30" s="160"/>
      <c r="AI30" s="160"/>
      <c r="AJ30" s="160"/>
      <c r="AK30" s="160"/>
    </row>
    <row r="31">
      <c r="A31" s="161" t="s">
        <v>170</v>
      </c>
      <c r="B31" s="159">
        <v>50000.0</v>
      </c>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2"/>
      <c r="AE31" s="160"/>
      <c r="AF31" s="160"/>
      <c r="AG31" s="160"/>
      <c r="AH31" s="160"/>
      <c r="AI31" s="160"/>
      <c r="AJ31" s="160"/>
      <c r="AK31" s="160"/>
    </row>
    <row r="32">
      <c r="A32" s="161" t="s">
        <v>275</v>
      </c>
      <c r="B32" s="159">
        <v>20000.0</v>
      </c>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2"/>
      <c r="AE32" s="160"/>
      <c r="AF32" s="160"/>
      <c r="AG32" s="160"/>
      <c r="AH32" s="160"/>
      <c r="AI32" s="160"/>
      <c r="AJ32" s="160"/>
      <c r="AK32" s="160"/>
    </row>
    <row r="33">
      <c r="A33" s="162" t="s">
        <v>276</v>
      </c>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4"/>
      <c r="AF33" s="164"/>
      <c r="AG33" s="164"/>
      <c r="AH33" s="164"/>
      <c r="AI33" s="164"/>
      <c r="AJ33" s="164"/>
      <c r="AK33" s="144">
        <f>AK25-B39-B30</f>
        <v>167284</v>
      </c>
    </row>
    <row r="35">
      <c r="A35" s="165" t="s">
        <v>277</v>
      </c>
      <c r="B35" s="165" t="s">
        <v>189</v>
      </c>
      <c r="AD35">
        <f>sum(AK6:AK24)</f>
        <v>340952</v>
      </c>
    </row>
    <row r="36">
      <c r="A36" s="56" t="s">
        <v>30</v>
      </c>
      <c r="B36" s="56">
        <v>30000.0</v>
      </c>
    </row>
    <row r="37">
      <c r="A37" s="56" t="s">
        <v>177</v>
      </c>
      <c r="B37" s="56">
        <v>10000.0</v>
      </c>
    </row>
    <row r="38">
      <c r="A38" s="56" t="s">
        <v>89</v>
      </c>
      <c r="B38" s="56">
        <v>39000.0</v>
      </c>
    </row>
    <row r="39">
      <c r="A39" s="56" t="s">
        <v>14</v>
      </c>
      <c r="B39" s="166">
        <f>sum(B36:B38)</f>
        <v>79000</v>
      </c>
    </row>
  </sheetData>
  <mergeCells count="10">
    <mergeCell ref="B30:AD30"/>
    <mergeCell ref="B31:AD31"/>
    <mergeCell ref="B32:AD32"/>
    <mergeCell ref="H1:P1"/>
    <mergeCell ref="A3:AK3"/>
    <mergeCell ref="A4:A5"/>
    <mergeCell ref="B4:AK4"/>
    <mergeCell ref="A26:J26"/>
    <mergeCell ref="S27:V27"/>
    <mergeCell ref="B29:M29"/>
  </mergeCells>
  <drawing r:id="rId1"/>
</worksheet>
</file>